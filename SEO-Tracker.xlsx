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argets &amp; Goals" sheetId="2" state="visible" r:id="rId2"/>
    <sheet name="Weekly Scorecard" sheetId="3" state="visible" r:id="rId3"/>
    <sheet name="Activity Log" sheetId="4" state="visible" r:id="rId4"/>
    <sheet name="Outreach Pipeline" sheetId="5" state="visible" r:id="rId5"/>
    <sheet name="Backlinks" sheetId="6" state="visible" r:id="rId6"/>
    <sheet name="Keyword Rankings" sheetId="7" state="visible" r:id="rId7"/>
    <sheet name="On-Page SEO" sheetId="8" state="visible" r:id="rId8"/>
    <sheet name="Content" sheetId="9" state="visible" r:id="rId9"/>
    <sheet name="Content Distribution" sheetId="10" state="visible" r:id="rId10"/>
    <sheet name="Results Dashboard" sheetId="11" state="visible" r:id="rId11"/>
  </sheets>
  <definedNames>
    <definedName name="_xlnm._FilterDatabase" localSheetId="2" hidden="1">'Weekly Scorecard'!$A$4:$H$54</definedName>
    <definedName name="_xlnm._FilterDatabase" localSheetId="3" hidden="1">'Activity Log'!$A$4:$H$104</definedName>
    <definedName name="_xlnm._FilterDatabase" localSheetId="4" hidden="1">'Outreach Pipeline'!$A$4:$K$104</definedName>
    <definedName name="_xlnm._FilterDatabase" localSheetId="5" hidden="1">'Backlinks'!$A$4:$K$104</definedName>
    <definedName name="_xlnm._FilterDatabase" localSheetId="6" hidden="1">'Keyword Rankings'!$A$4:$J$104</definedName>
    <definedName name="_xlnm._FilterDatabase" localSheetId="7" hidden="1">'On-Page SEO'!$A$4:$N$104</definedName>
    <definedName name="_xlnm._FilterDatabase" localSheetId="8" hidden="1">'Content'!$A$4:$I$104</definedName>
    <definedName name="_xlnm._FilterDatabase" localSheetId="9" hidden="1">'Content Distribution'!$A$4:$H$106</definedName>
    <definedName name="_xlnm._FilterDatabase" localSheetId="10" hidden="1">'Results Dashboard'!$A$4:$I$69</definedName>
  </definedNames>
  <calcPr calcId="124519" fullCalcOnLoad="1"/>
</workbook>
</file>

<file path=xl/styles.xml><?xml version="1.0" encoding="utf-8"?>
<styleSheet xmlns="http://schemas.openxmlformats.org/spreadsheetml/2006/main">
  <numFmts count="2">
    <numFmt numFmtId="164" formatCode="0.0"/>
    <numFmt numFmtId="165" formatCode="$#,##0"/>
  </numFmts>
  <fonts count="8">
    <font>
      <name val="Calibri"/>
      <family val="2"/>
      <color theme="1"/>
      <sz val="11"/>
      <scheme val="minor"/>
    </font>
    <font>
      <name val="Arial"/>
      <b val="1"/>
      <color rgb="001F3864"/>
      <sz val="18"/>
    </font>
    <font>
      <name val="Arial"/>
      <i val="1"/>
      <color rgb="00595959"/>
      <sz val="11"/>
    </font>
    <font>
      <name val="Arial"/>
      <b val="1"/>
      <color rgb="001F3864"/>
      <sz val="12"/>
    </font>
    <font>
      <name val="Arial"/>
      <color rgb="00000000"/>
      <sz val="10"/>
    </font>
    <font>
      <name val="Arial"/>
      <b val="1"/>
      <color rgb="00000000"/>
      <sz val="10"/>
    </font>
    <font>
      <name val="Arial"/>
      <b val="1"/>
      <color rgb="00FFFFFF"/>
      <sz val="10"/>
    </font>
    <font>
      <name val="Arial"/>
      <i val="1"/>
      <color rgb="007F7F7F"/>
      <sz val="9"/>
    </font>
  </fonts>
  <fills count="9">
    <fill>
      <patternFill/>
    </fill>
    <fill>
      <patternFill patternType="gray125"/>
    </fill>
    <fill>
      <patternFill patternType="solid">
        <fgColor rgb="00D9E1F2"/>
      </patternFill>
    </fill>
    <fill>
      <patternFill patternType="solid">
        <fgColor rgb="00FFF2CC"/>
      </patternFill>
    </fill>
    <fill>
      <patternFill patternType="solid">
        <fgColor rgb="00F2F2F2"/>
      </patternFill>
    </fill>
    <fill>
      <patternFill patternType="solid">
        <fgColor rgb="002E5496"/>
      </patternFill>
    </fill>
    <fill>
      <patternFill patternType="solid">
        <fgColor rgb="00C6EFCE"/>
      </patternFill>
    </fill>
    <fill>
      <patternFill patternType="solid">
        <fgColor rgb="00FFEB9C"/>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5" fillId="3" borderId="1" pivotButton="0" quotePrefix="0" xfId="0"/>
    <xf numFmtId="0" fontId="0" fillId="0" borderId="4" pivotButton="0" quotePrefix="0" xfId="0"/>
    <xf numFmtId="0" fontId="0" fillId="0" borderId="5" pivotButton="0" quotePrefix="0" xfId="0"/>
    <xf numFmtId="0" fontId="5" fillId="4" borderId="1" pivotButton="0" quotePrefix="0" xfId="0"/>
    <xf numFmtId="0" fontId="4" fillId="3" borderId="1" pivotButton="0" quotePrefix="0" xfId="0"/>
    <xf numFmtId="0" fontId="5" fillId="0" borderId="0" pivotButton="0" quotePrefix="0" xfId="0"/>
    <xf numFmtId="0" fontId="5" fillId="3" borderId="1" applyAlignment="1" pivotButton="0" quotePrefix="0" xfId="0">
      <alignment horizontal="center" vertical="center" wrapText="1"/>
    </xf>
    <xf numFmtId="0" fontId="7" fillId="0" borderId="0" pivotButton="0" quotePrefix="0" xfId="0"/>
    <xf numFmtId="0" fontId="6"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5" fillId="8" borderId="1" applyAlignment="1" pivotButton="0" quotePrefix="0" xfId="0">
      <alignment horizontal="left" vertical="center" wrapText="1"/>
    </xf>
    <xf numFmtId="164" fontId="4" fillId="3" borderId="1" applyAlignment="1" pivotButton="0" quotePrefix="0" xfId="0">
      <alignment horizontal="left" vertical="center" wrapText="1"/>
    </xf>
    <xf numFmtId="164" fontId="0" fillId="0" borderId="1" applyAlignment="1" pivotButton="0" quotePrefix="0" xfId="0">
      <alignment horizontal="center" vertical="center" wrapText="1"/>
    </xf>
    <xf numFmtId="0" fontId="5"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4" borderId="1" applyAlignment="1" pivotButton="0" quotePrefix="0" xfId="0">
      <alignment horizontal="center" vertical="center" wrapText="1"/>
    </xf>
    <xf numFmtId="165" fontId="4" fillId="3" borderId="1" applyAlignment="1" pivotButton="0" quotePrefix="0" xfId="0">
      <alignment horizontal="left" vertical="center" wrapText="1"/>
    </xf>
    <xf numFmtId="9" fontId="0" fillId="4" borderId="1" applyAlignment="1" pivotButton="0" quotePrefix="0" xfId="0">
      <alignment horizontal="center" vertical="center" wrapText="1"/>
    </xf>
    <xf numFmtId="165" fontId="0" fillId="0" borderId="1" applyAlignment="1" pivotButton="0" quotePrefix="0" xfId="0">
      <alignment horizontal="center" vertical="center" wrapText="1"/>
    </xf>
    <xf numFmtId="9" fontId="4" fillId="4" borderId="1" applyAlignment="1" pivotButton="0" quotePrefix="0" xfId="0">
      <alignment horizontal="center" vertical="center" wrapText="1"/>
    </xf>
    <xf numFmtId="3"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26" customWidth="1" min="1" max="1"/>
    <col width="16" customWidth="1" min="2" max="2"/>
    <col width="20" customWidth="1" min="3" max="3"/>
    <col width="14" customWidth="1" min="4" max="4"/>
    <col width="14" customWidth="1" min="5" max="5"/>
    <col width="14" customWidth="1" min="6" max="6"/>
  </cols>
  <sheetData>
    <row r="1" ht="34" customHeight="1">
      <c r="A1" s="1" t="inlineStr">
        <is>
          <t>SEO Accountability &amp; Results Tracker</t>
        </is>
      </c>
    </row>
    <row r="2" ht="20" customHeight="1">
      <c r="A2" s="2" t="inlineStr">
        <is>
          <t>Shared tracker for crownseoagency.com + badassbacklinks.com  •  3 partners</t>
        </is>
      </c>
    </row>
    <row r="5" ht="22" customHeight="1">
      <c r="A5" s="3" t="inlineStr">
        <is>
          <t>HOW THIS WORKBOOK WORKS</t>
        </is>
      </c>
    </row>
    <row r="6" ht="18" customHeight="1">
      <c r="A6" s="4" t="inlineStr">
        <is>
          <t>•  Every tab is a shared log. Fill in the yellow cells; the grey/white cells calculate themselves.</t>
        </is>
      </c>
    </row>
    <row r="7" ht="18" customHeight="1">
      <c r="A7" s="4" t="inlineStr">
        <is>
          <t>•  Hold ONE 30-minute check-in per week. Walk the 'Weekly Scorecard' tab together, then update it live.</t>
        </is>
      </c>
    </row>
    <row r="9" ht="22" customHeight="1">
      <c r="A9" s="3" t="inlineStr">
        <is>
          <t>THE TABS</t>
        </is>
      </c>
    </row>
    <row r="10" ht="30" customHeight="1">
      <c r="A10" s="5" t="inlineStr">
        <is>
          <t>1. Targets &amp; Goals</t>
        </is>
      </c>
      <c r="C10" s="4" t="inlineStr">
        <is>
          <t>Set monthly targets per site; 'Actual' auto-pulls from the Results Dashboard so you see On track / Close / Behind at a glance.</t>
        </is>
      </c>
    </row>
    <row r="11" ht="30" customHeight="1">
      <c r="A11" s="5" t="inlineStr">
        <is>
          <t>2. Weekly Scorecard</t>
        </is>
      </c>
      <c r="C11" s="4" t="inlineStr">
        <is>
          <t>Each partner commits to 1-3 goals per week, then marks Done / Partial / Missed. This is the accountability engine.</t>
        </is>
      </c>
    </row>
    <row r="12" ht="30" customHeight="1">
      <c r="A12" s="5" t="inlineStr">
        <is>
          <t>3. Activity Log</t>
        </is>
      </c>
      <c r="C12" s="4" t="inlineStr">
        <is>
          <t>Daily record of what each person actually did — task, site, time spent, proof link.</t>
        </is>
      </c>
    </row>
    <row r="13" ht="30" customHeight="1">
      <c r="A13" s="5" t="inlineStr">
        <is>
          <t>4. Outreach Pipeline</t>
        </is>
      </c>
      <c r="C13" s="4" t="inlineStr">
        <is>
          <t>Link-building funnel: prospect &gt; contacted &gt; replied &gt; negotiating &gt; won/lost. Won links graduate to the Backlinks tab.</t>
        </is>
      </c>
    </row>
    <row r="14" ht="30" customHeight="1">
      <c r="A14" s="5" t="inlineStr">
        <is>
          <t>5. Backlinks</t>
        </is>
      </c>
      <c r="C14" s="4" t="inlineStr">
        <is>
          <t>Every link built or earned: source, DR, anchor, dofollow/nofollow, who built it, live status.</t>
        </is>
      </c>
    </row>
    <row r="15" ht="30" customHeight="1">
      <c r="A15" s="5" t="inlineStr">
        <is>
          <t>6. Keyword Rankings</t>
        </is>
      </c>
      <c r="C15" s="4" t="inlineStr">
        <is>
          <t>Track target keywords: start position vs current position, so movement is visible.</t>
        </is>
      </c>
    </row>
    <row r="16" ht="30" customHeight="1">
      <c r="A16" s="5" t="inlineStr">
        <is>
          <t>7. On-Page SEO</t>
        </is>
      </c>
      <c r="C16" s="4" t="inlineStr">
        <is>
          <t>Per-page optimization checklist (title, meta, H1, internal links, alt, schema...) with an auto optimization score.</t>
        </is>
      </c>
    </row>
    <row r="17" ht="30" customHeight="1">
      <c r="A17" s="5" t="inlineStr">
        <is>
          <t>8. Content</t>
        </is>
      </c>
      <c r="C17" s="4" t="inlineStr">
        <is>
          <t>Every article/page: target keyword, author, word count, publish status, URL.</t>
        </is>
      </c>
    </row>
    <row r="18" ht="30" customHeight="1">
      <c r="A18" s="5" t="inlineStr">
        <is>
          <t>9. Content Distribution</t>
        </is>
      </c>
      <c r="C18" s="4" t="inlineStr">
        <is>
          <t>Where each piece gets shared and repurposed — channel, format, owner, status. One post becomes ten touchpoints.</t>
        </is>
      </c>
    </row>
    <row r="19" ht="30" customHeight="1">
      <c r="A19" s="5" t="inlineStr">
        <is>
          <t>10. Results Dashboard</t>
        </is>
      </c>
      <c r="C19" s="4" t="inlineStr">
        <is>
          <t>Monthly outcomes per site — clicks, impressions, live backlinks, top-10 keywords, leads.</t>
        </is>
      </c>
    </row>
    <row r="21" ht="22" customHeight="1">
      <c r="A21" s="3" t="inlineStr">
        <is>
          <t>LEGEND</t>
        </is>
      </c>
    </row>
    <row r="22">
      <c r="A22" s="6" t="inlineStr">
        <is>
          <t>Yellow cell  =  you type here</t>
        </is>
      </c>
      <c r="B22" s="7" t="n"/>
      <c r="C22" s="8" t="n"/>
    </row>
    <row r="23">
      <c r="A23" s="9" t="inlineStr">
        <is>
          <t>White / grey cell  =  auto-calculated — do not overwrite</t>
        </is>
      </c>
      <c r="B23" s="7" t="n"/>
      <c r="C23" s="8" t="n"/>
    </row>
    <row r="25" ht="22" customHeight="1">
      <c r="A25" s="3" t="inlineStr">
        <is>
          <t>SETUP (do this once)</t>
        </is>
      </c>
    </row>
    <row r="26" ht="18" customHeight="1">
      <c r="A26" s="4" t="inlineStr">
        <is>
          <t>•  Rename 'Partner 1/2/3' to your real names — use Find &amp; Replace across the whole workbook.</t>
        </is>
      </c>
    </row>
    <row r="27" ht="18" customHeight="1">
      <c r="A27" s="4" t="inlineStr">
        <is>
          <t>•  Agree on the weekly check-in day/time and put it here:</t>
        </is>
      </c>
    </row>
    <row r="28">
      <c r="A28" s="10" t="inlineStr">
        <is>
          <t>e.g. Every Monday, 10:00am on Zoom</t>
        </is>
      </c>
      <c r="B28" s="7" t="n"/>
      <c r="C28" s="7" t="n"/>
      <c r="D28" s="8" t="n"/>
    </row>
  </sheetData>
  <mergeCells count="33">
    <mergeCell ref="C17:F17"/>
    <mergeCell ref="A15:B15"/>
    <mergeCell ref="A11:B11"/>
    <mergeCell ref="A27:F27"/>
    <mergeCell ref="A26:F26"/>
    <mergeCell ref="C19:F19"/>
    <mergeCell ref="A21:F21"/>
    <mergeCell ref="A28:D28"/>
    <mergeCell ref="C13:F13"/>
    <mergeCell ref="A2:F2"/>
    <mergeCell ref="C18:F18"/>
    <mergeCell ref="A16:B16"/>
    <mergeCell ref="A23:C23"/>
    <mergeCell ref="A5:F5"/>
    <mergeCell ref="A22:C22"/>
    <mergeCell ref="C15:F15"/>
    <mergeCell ref="A18:B18"/>
    <mergeCell ref="C14:F14"/>
    <mergeCell ref="A12:B12"/>
    <mergeCell ref="A9:F9"/>
    <mergeCell ref="C16:F16"/>
    <mergeCell ref="A14:B14"/>
    <mergeCell ref="A17:B17"/>
    <mergeCell ref="C10:F10"/>
    <mergeCell ref="A19:B19"/>
    <mergeCell ref="A1:F1"/>
    <mergeCell ref="C12:F12"/>
    <mergeCell ref="A10:B10"/>
    <mergeCell ref="A6:F6"/>
    <mergeCell ref="A13:B13"/>
    <mergeCell ref="C11:F11"/>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0" workbookViewId="0">
      <pane ySplit="6" topLeftCell="A7" activePane="bottomLeft" state="frozen"/>
      <selection pane="bottomLeft" activeCell="A1" sqref="A1"/>
    </sheetView>
  </sheetViews>
  <sheetFormatPr baseColWidth="8" defaultRowHeight="15"/>
  <cols>
    <col width="20" customWidth="1" min="1" max="1"/>
    <col width="20" customWidth="1" min="2" max="2"/>
    <col width="12" customWidth="1" min="3" max="3"/>
    <col width="18" customWidth="1" min="4" max="4"/>
    <col width="14" customWidth="1" min="5" max="5"/>
    <col width="10" customWidth="1" min="6" max="6"/>
    <col width="12" customWidth="1" min="7" max="7"/>
  </cols>
  <sheetData>
    <row r="1" ht="34" customHeight="1">
      <c r="A1" s="1" t="inlineStr">
        <is>
          <t>Targets &amp; Goals</t>
        </is>
      </c>
    </row>
    <row r="2" ht="20" customHeight="1">
      <c r="A2" s="2" t="inlineStr">
        <is>
          <t>Set the target; 'Actual' auto-pulls from the Results Dashboard for the reporting month below.</t>
        </is>
      </c>
    </row>
    <row r="4">
      <c r="A4" s="11" t="inlineStr">
        <is>
          <t>Reporting Month:</t>
        </is>
      </c>
      <c r="B4" s="12" t="inlineStr">
        <is>
          <t>2026-08</t>
        </is>
      </c>
      <c r="C4" s="13" t="inlineStr">
        <is>
          <t>type as YYYY-MM to match the Results Dashboard</t>
        </is>
      </c>
    </row>
    <row r="6" ht="30" customHeight="1">
      <c r="A6" s="14" t="inlineStr">
        <is>
          <t>Site</t>
        </is>
      </c>
      <c r="B6" s="14" t="inlineStr">
        <is>
          <t>Metric</t>
        </is>
      </c>
      <c r="C6" s="14" t="inlineStr">
        <is>
          <t>Target</t>
        </is>
      </c>
      <c r="D6" s="14" t="inlineStr">
        <is>
          <t>Actual (this month)</t>
        </is>
      </c>
      <c r="E6" s="14" t="inlineStr">
        <is>
          <t>Status</t>
        </is>
      </c>
      <c r="F6" s="14" t="inlineStr">
        <is>
          <t>Gap</t>
        </is>
      </c>
      <c r="G6" s="14" t="inlineStr">
        <is>
          <t>Owner</t>
        </is>
      </c>
    </row>
    <row r="7">
      <c r="A7" s="15" t="inlineStr">
        <is>
          <t>crownseoagency.com</t>
        </is>
      </c>
      <c r="B7" s="15" t="inlineStr">
        <is>
          <t>Organic Clicks</t>
        </is>
      </c>
      <c r="C7" s="16" t="n">
        <v>700</v>
      </c>
      <c r="D7" s="17">
        <f>SUMIFS('Results Dashboard'!$C$5:$C$70,'Results Dashboard'!$B$5:$B$70,$A7,'Results Dashboard'!$A$5:$A$70,$B$4)</f>
        <v/>
      </c>
      <c r="E7" s="17">
        <f>IF(C7="","Set target",IF(D7&gt;=C7,"On track",IF(D7&gt;=0.8*C7,"Close","Behind")))</f>
        <v/>
      </c>
      <c r="F7" s="17">
        <f>IF(C7="","",D7-C7)</f>
        <v/>
      </c>
      <c r="G7" s="18" t="n"/>
    </row>
    <row r="8">
      <c r="A8" s="15" t="inlineStr">
        <is>
          <t>crownseoagency.com</t>
        </is>
      </c>
      <c r="B8" s="15" t="inlineStr">
        <is>
          <t>Impressions</t>
        </is>
      </c>
      <c r="C8" s="16" t="n">
        <v>22000</v>
      </c>
      <c r="D8" s="17">
        <f>SUMIFS('Results Dashboard'!$D$5:$D$70,'Results Dashboard'!$B$5:$B$70,$A8,'Results Dashboard'!$A$5:$A$70,$B$4)</f>
        <v/>
      </c>
      <c r="E8" s="17">
        <f>IF(C8="","Set target",IF(D8&gt;=C8,"On track",IF(D8&gt;=0.8*C8,"Close","Behind")))</f>
        <v/>
      </c>
      <c r="F8" s="17">
        <f>IF(C8="","",D8-C8)</f>
        <v/>
      </c>
      <c r="G8" s="18" t="n"/>
    </row>
    <row r="9">
      <c r="A9" s="15" t="inlineStr">
        <is>
          <t>crownseoagency.com</t>
        </is>
      </c>
      <c r="B9" s="15" t="inlineStr">
        <is>
          <t>Avg Position</t>
        </is>
      </c>
      <c r="C9" s="16" t="n">
        <v>15</v>
      </c>
      <c r="D9" s="17">
        <f>SUMIFS('Results Dashboard'!$E$5:$E$70,'Results Dashboard'!$B$5:$B$70,$A9,'Results Dashboard'!$A$5:$A$70,$B$4)</f>
        <v/>
      </c>
      <c r="E9" s="17">
        <f>IF(C9="","Set target",IF(AND(D9&gt;0,D9&lt;=C9),"On track",IF(AND(D9&gt;0,D9&lt;=1.2*C9),"Close","Behind")))</f>
        <v/>
      </c>
      <c r="F9" s="17">
        <f>IF(C9="","",C9-D9)</f>
        <v/>
      </c>
      <c r="G9" s="18" t="n"/>
    </row>
    <row r="10">
      <c r="A10" s="15" t="inlineStr">
        <is>
          <t>crownseoagency.com</t>
        </is>
      </c>
      <c r="B10" s="15" t="inlineStr">
        <is>
          <t>Live Backlinks</t>
        </is>
      </c>
      <c r="C10" s="16" t="n">
        <v>45</v>
      </c>
      <c r="D10" s="17">
        <f>SUMIFS('Results Dashboard'!$F$5:$F$70,'Results Dashboard'!$B$5:$B$70,$A10,'Results Dashboard'!$A$5:$A$70,$B$4)</f>
        <v/>
      </c>
      <c r="E10" s="17">
        <f>IF(C10="","Set target",IF(D10&gt;=C10,"On track",IF(D10&gt;=0.8*C10,"Close","Behind")))</f>
        <v/>
      </c>
      <c r="F10" s="17">
        <f>IF(C10="","",D10-C10)</f>
        <v/>
      </c>
      <c r="G10" s="18" t="n"/>
    </row>
    <row r="11">
      <c r="A11" s="15" t="inlineStr">
        <is>
          <t>crownseoagency.com</t>
        </is>
      </c>
      <c r="B11" s="15" t="inlineStr">
        <is>
          <t>Keywords Top 10</t>
        </is>
      </c>
      <c r="C11" s="16" t="n">
        <v>12</v>
      </c>
      <c r="D11" s="17">
        <f>SUMIFS('Results Dashboard'!$G$5:$G$70,'Results Dashboard'!$B$5:$B$70,$A11,'Results Dashboard'!$A$5:$A$70,$B$4)</f>
        <v/>
      </c>
      <c r="E11" s="17">
        <f>IF(C11="","Set target",IF(D11&gt;=C11,"On track",IF(D11&gt;=0.8*C11,"Close","Behind")))</f>
        <v/>
      </c>
      <c r="F11" s="17">
        <f>IF(C11="","",D11-C11)</f>
        <v/>
      </c>
      <c r="G11" s="18" t="n"/>
    </row>
    <row r="12">
      <c r="A12" s="15" t="inlineStr">
        <is>
          <t>crownseoagency.com</t>
        </is>
      </c>
      <c r="B12" s="15" t="inlineStr">
        <is>
          <t>Leads / Conversions</t>
        </is>
      </c>
      <c r="C12" s="16" t="n">
        <v>15</v>
      </c>
      <c r="D12" s="17">
        <f>SUMIFS('Results Dashboard'!$H$5:$H$70,'Results Dashboard'!$B$5:$B$70,$A12,'Results Dashboard'!$A$5:$A$70,$B$4)</f>
        <v/>
      </c>
      <c r="E12" s="17">
        <f>IF(C12="","Set target",IF(D12&gt;=C12,"On track",IF(D12&gt;=0.8*C12,"Close","Behind")))</f>
        <v/>
      </c>
      <c r="F12" s="17">
        <f>IF(C12="","",D12-C12)</f>
        <v/>
      </c>
      <c r="G12" s="18" t="n"/>
    </row>
    <row r="13">
      <c r="A13" s="15" t="inlineStr">
        <is>
          <t>badassbacklinks.com</t>
        </is>
      </c>
      <c r="B13" s="15" t="inlineStr">
        <is>
          <t>Organic Clicks</t>
        </is>
      </c>
      <c r="C13" s="16" t="n"/>
      <c r="D13" s="17">
        <f>SUMIFS('Results Dashboard'!$C$5:$C$70,'Results Dashboard'!$B$5:$B$70,$A13,'Results Dashboard'!$A$5:$A$70,$B$4)</f>
        <v/>
      </c>
      <c r="E13" s="17">
        <f>IF(C13="","Set target",IF(D13&gt;=C13,"On track",IF(D13&gt;=0.8*C13,"Close","Behind")))</f>
        <v/>
      </c>
      <c r="F13" s="17">
        <f>IF(C13="","",D13-C13)</f>
        <v/>
      </c>
      <c r="G13" s="18" t="n"/>
    </row>
    <row r="14">
      <c r="A14" s="15" t="inlineStr">
        <is>
          <t>badassbacklinks.com</t>
        </is>
      </c>
      <c r="B14" s="15" t="inlineStr">
        <is>
          <t>Impressions</t>
        </is>
      </c>
      <c r="C14" s="16" t="n"/>
      <c r="D14" s="17">
        <f>SUMIFS('Results Dashboard'!$D$5:$D$70,'Results Dashboard'!$B$5:$B$70,$A14,'Results Dashboard'!$A$5:$A$70,$B$4)</f>
        <v/>
      </c>
      <c r="E14" s="17">
        <f>IF(C14="","Set target",IF(D14&gt;=C14,"On track",IF(D14&gt;=0.8*C14,"Close","Behind")))</f>
        <v/>
      </c>
      <c r="F14" s="17">
        <f>IF(C14="","",D14-C14)</f>
        <v/>
      </c>
      <c r="G14" s="18" t="n"/>
    </row>
    <row r="15">
      <c r="A15" s="15" t="inlineStr">
        <is>
          <t>badassbacklinks.com</t>
        </is>
      </c>
      <c r="B15" s="15" t="inlineStr">
        <is>
          <t>Avg Position</t>
        </is>
      </c>
      <c r="C15" s="16" t="n"/>
      <c r="D15" s="17">
        <f>SUMIFS('Results Dashboard'!$E$5:$E$70,'Results Dashboard'!$B$5:$B$70,$A15,'Results Dashboard'!$A$5:$A$70,$B$4)</f>
        <v/>
      </c>
      <c r="E15" s="17">
        <f>IF(C15="","Set target",IF(AND(D15&gt;0,D15&lt;=C15),"On track",IF(AND(D15&gt;0,D15&lt;=1.2*C15),"Close","Behind")))</f>
        <v/>
      </c>
      <c r="F15" s="17">
        <f>IF(C15="","",C15-D15)</f>
        <v/>
      </c>
      <c r="G15" s="18" t="n"/>
    </row>
    <row r="16">
      <c r="A16" s="15" t="inlineStr">
        <is>
          <t>badassbacklinks.com</t>
        </is>
      </c>
      <c r="B16" s="15" t="inlineStr">
        <is>
          <t>Live Backlinks</t>
        </is>
      </c>
      <c r="C16" s="16" t="n"/>
      <c r="D16" s="17">
        <f>SUMIFS('Results Dashboard'!$F$5:$F$70,'Results Dashboard'!$B$5:$B$70,$A16,'Results Dashboard'!$A$5:$A$70,$B$4)</f>
        <v/>
      </c>
      <c r="E16" s="17">
        <f>IF(C16="","Set target",IF(D16&gt;=C16,"On track",IF(D16&gt;=0.8*C16,"Close","Behind")))</f>
        <v/>
      </c>
      <c r="F16" s="17">
        <f>IF(C16="","",D16-C16)</f>
        <v/>
      </c>
      <c r="G16" s="18" t="n"/>
    </row>
    <row r="17">
      <c r="A17" s="15" t="inlineStr">
        <is>
          <t>badassbacklinks.com</t>
        </is>
      </c>
      <c r="B17" s="15" t="inlineStr">
        <is>
          <t>Keywords Top 10</t>
        </is>
      </c>
      <c r="C17" s="16" t="n"/>
      <c r="D17" s="17">
        <f>SUMIFS('Results Dashboard'!$G$5:$G$70,'Results Dashboard'!$B$5:$B$70,$A17,'Results Dashboard'!$A$5:$A$70,$B$4)</f>
        <v/>
      </c>
      <c r="E17" s="17">
        <f>IF(C17="","Set target",IF(D17&gt;=C17,"On track",IF(D17&gt;=0.8*C17,"Close","Behind")))</f>
        <v/>
      </c>
      <c r="F17" s="17">
        <f>IF(C17="","",D17-C17)</f>
        <v/>
      </c>
      <c r="G17" s="18" t="n"/>
    </row>
    <row r="18">
      <c r="A18" s="15" t="inlineStr">
        <is>
          <t>badassbacklinks.com</t>
        </is>
      </c>
      <c r="B18" s="15" t="inlineStr">
        <is>
          <t>Leads / Conversions</t>
        </is>
      </c>
      <c r="C18" s="16" t="n"/>
      <c r="D18" s="17">
        <f>SUMIFS('Results Dashboard'!$H$5:$H$70,'Results Dashboard'!$B$5:$B$70,$A18,'Results Dashboard'!$A$5:$A$70,$B$4)</f>
        <v/>
      </c>
      <c r="E18" s="17">
        <f>IF(C18="","Set target",IF(D18&gt;=C18,"On track",IF(D18&gt;=0.8*C18,"Close","Behind")))</f>
        <v/>
      </c>
      <c r="F18" s="17">
        <f>IF(C18="","",D18-C18)</f>
        <v/>
      </c>
      <c r="G18" s="18" t="n"/>
    </row>
    <row r="20">
      <c r="A20" s="13" t="inlineStr">
        <is>
          <t>On track = met target • Close = within ~20% • Behind = further off. Avg Position is judged in reverse (lower is better).</t>
        </is>
      </c>
    </row>
  </sheetData>
  <mergeCells count="3">
    <mergeCell ref="A20:G20"/>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20" customWidth="1" min="3" max="3"/>
    <col width="34" customWidth="1" min="4" max="4"/>
    <col width="18" customWidth="1" min="5" max="5"/>
    <col width="12" customWidth="1" min="6" max="6"/>
    <col width="26" customWidth="1" min="7" max="7"/>
    <col width="26" customWidth="1" min="8" max="8"/>
    <col width="12" customWidth="1" min="10" max="10"/>
    <col width="12" customWidth="1" min="11" max="11"/>
    <col width="12" customWidth="1" min="12" max="12"/>
    <col width="12" customWidth="1" min="13" max="13"/>
    <col width="12" customWidth="1" min="14" max="14"/>
  </cols>
  <sheetData>
    <row r="1" ht="34" customHeight="1">
      <c r="A1" s="1" t="inlineStr">
        <is>
          <t>Weekly Scorecard</t>
        </is>
      </c>
    </row>
    <row r="2" ht="20" customHeight="1">
      <c r="A2" s="2" t="inlineStr">
        <is>
          <t>Each partner sets 1-3 commitments per week, then grades them at the next check-in.</t>
        </is>
      </c>
    </row>
    <row r="4" ht="30" customHeight="1">
      <c r="A4" s="14" t="inlineStr">
        <is>
          <t>Week Starting</t>
        </is>
      </c>
      <c r="B4" s="14" t="inlineStr">
        <is>
          <t>Partner</t>
        </is>
      </c>
      <c r="C4" s="14" t="inlineStr">
        <is>
          <t>Site</t>
        </is>
      </c>
      <c r="D4" s="14" t="inlineStr">
        <is>
          <t>Commitment (what you'll get done)</t>
        </is>
      </c>
      <c r="E4" s="14" t="inlineStr">
        <is>
          <t>Target / Metric</t>
        </is>
      </c>
      <c r="F4" s="14" t="inlineStr">
        <is>
          <t>Status</t>
        </is>
      </c>
      <c r="G4" s="14" t="inlineStr">
        <is>
          <t>Actual Outcome</t>
        </is>
      </c>
      <c r="H4" s="14" t="inlineStr">
        <is>
          <t>Notes / Blockers</t>
        </is>
      </c>
      <c r="J4" s="3" t="inlineStr">
        <is>
          <t>COMPLETION RATE</t>
        </is>
      </c>
    </row>
    <row r="5">
      <c r="A5" s="18" t="inlineStr">
        <is>
          <t>2026-08-17</t>
        </is>
      </c>
      <c r="B5" s="18" t="inlineStr">
        <is>
          <t>Partner 1</t>
        </is>
      </c>
      <c r="C5" s="18" t="inlineStr">
        <is>
          <t>crownseoagency.com</t>
        </is>
      </c>
      <c r="D5" s="18" t="inlineStr">
        <is>
          <t>Publish 2 blog posts targeting 'local SEO' cluster</t>
        </is>
      </c>
      <c r="E5" s="18" t="inlineStr">
        <is>
          <t>2 posts live</t>
        </is>
      </c>
      <c r="F5" s="19" t="inlineStr">
        <is>
          <t>Done</t>
        </is>
      </c>
      <c r="G5" s="18" t="inlineStr">
        <is>
          <t>Both live, indexed in 3 days</t>
        </is>
      </c>
      <c r="H5" s="18" t="inlineStr">
        <is>
          <t>—</t>
        </is>
      </c>
      <c r="J5" s="14" t="inlineStr">
        <is>
          <t>Partner</t>
        </is>
      </c>
      <c r="K5" s="14" t="inlineStr">
        <is>
          <t>Done</t>
        </is>
      </c>
      <c r="L5" s="14" t="inlineStr">
        <is>
          <t>Partial</t>
        </is>
      </c>
      <c r="M5" s="14" t="inlineStr">
        <is>
          <t>Missed</t>
        </is>
      </c>
      <c r="N5" s="14" t="inlineStr">
        <is>
          <t>Score %</t>
        </is>
      </c>
    </row>
    <row r="6">
      <c r="A6" s="18" t="inlineStr">
        <is>
          <t>2026-08-17</t>
        </is>
      </c>
      <c r="B6" s="18" t="inlineStr">
        <is>
          <t>Partner 2</t>
        </is>
      </c>
      <c r="C6" s="18" t="inlineStr">
        <is>
          <t>badassbacklinks.com</t>
        </is>
      </c>
      <c r="D6" s="18" t="inlineStr">
        <is>
          <t>Land 3 guest-post backlinks DR40+</t>
        </is>
      </c>
      <c r="E6" s="18" t="inlineStr">
        <is>
          <t>3 dofollow links</t>
        </is>
      </c>
      <c r="F6" s="20" t="inlineStr">
        <is>
          <t>Partial</t>
        </is>
      </c>
      <c r="G6" s="18" t="inlineStr">
        <is>
          <t>2 secured, 1 in draft</t>
        </is>
      </c>
      <c r="H6" s="18" t="inlineStr">
        <is>
          <t>Outreach reply slow</t>
        </is>
      </c>
      <c r="J6" s="21" t="inlineStr">
        <is>
          <t>Partner 1</t>
        </is>
      </c>
      <c r="K6" s="22">
        <f>COUNTIFS($B$5:$B$54,J6,$F$5:$F$54,"Done")</f>
        <v/>
      </c>
      <c r="L6" s="22">
        <f>COUNTIFS($B$5:$B$54,J6,$F$5:$F$54,"Partial")</f>
        <v/>
      </c>
      <c r="M6" s="22">
        <f>COUNTIFS($B$5:$B$54,J6,$F$5:$F$54,"Missed")</f>
        <v/>
      </c>
      <c r="N6" s="23">
        <f>IFERROR((K6+0.5*L6)/(K6+L6+M6),"")</f>
        <v/>
      </c>
    </row>
    <row r="7">
      <c r="A7" s="18" t="inlineStr">
        <is>
          <t>2026-08-17</t>
        </is>
      </c>
      <c r="B7" s="18" t="inlineStr">
        <is>
          <t>Partner 3</t>
        </is>
      </c>
      <c r="C7" s="18" t="inlineStr">
        <is>
          <t>Both</t>
        </is>
      </c>
      <c r="D7" s="18" t="inlineStr">
        <is>
          <t>Fix all technical audit errors (Screaming Frog)</t>
        </is>
      </c>
      <c r="E7" s="18" t="inlineStr">
        <is>
          <t>0 critical errors</t>
        </is>
      </c>
      <c r="F7" s="24" t="inlineStr">
        <is>
          <t>Missed</t>
        </is>
      </c>
      <c r="G7" s="18" t="inlineStr">
        <is>
          <t>Ran out of time</t>
        </is>
      </c>
      <c r="H7" s="18" t="inlineStr">
        <is>
          <t>Rolls to next week</t>
        </is>
      </c>
      <c r="J7" s="21" t="inlineStr">
        <is>
          <t>Partner 2</t>
        </is>
      </c>
      <c r="K7" s="22">
        <f>COUNTIFS($B$5:$B$54,J7,$F$5:$F$54,"Done")</f>
        <v/>
      </c>
      <c r="L7" s="22">
        <f>COUNTIFS($B$5:$B$54,J7,$F$5:$F$54,"Partial")</f>
        <v/>
      </c>
      <c r="M7" s="22">
        <f>COUNTIFS($B$5:$B$54,J7,$F$5:$F$54,"Missed")</f>
        <v/>
      </c>
      <c r="N7" s="23">
        <f>IFERROR((K7+0.5*L7)/(K7+L7+M7),"")</f>
        <v/>
      </c>
    </row>
    <row r="8">
      <c r="A8" s="18" t="n"/>
      <c r="B8" s="18" t="n"/>
      <c r="C8" s="18" t="n"/>
      <c r="D8" s="18" t="n"/>
      <c r="E8" s="18" t="n"/>
      <c r="F8" s="18" t="n"/>
      <c r="G8" s="18" t="n"/>
      <c r="H8" s="18" t="n"/>
      <c r="J8" s="21" t="inlineStr">
        <is>
          <t>Partner 3</t>
        </is>
      </c>
      <c r="K8" s="22">
        <f>COUNTIFS($B$5:$B$54,J8,$F$5:$F$54,"Done")</f>
        <v/>
      </c>
      <c r="L8" s="22">
        <f>COUNTIFS($B$5:$B$54,J8,$F$5:$F$54,"Partial")</f>
        <v/>
      </c>
      <c r="M8" s="22">
        <f>COUNTIFS($B$5:$B$54,J8,$F$5:$F$54,"Missed")</f>
        <v/>
      </c>
      <c r="N8" s="23">
        <f>IFERROR((K8+0.5*L8)/(K8+L8+M8),"")</f>
        <v/>
      </c>
    </row>
    <row r="9">
      <c r="A9" s="18" t="n"/>
      <c r="B9" s="18" t="n"/>
      <c r="C9" s="18" t="n"/>
      <c r="D9" s="18" t="n"/>
      <c r="E9" s="18" t="n"/>
      <c r="F9" s="18" t="n"/>
      <c r="G9" s="18" t="n"/>
      <c r="H9" s="18" t="n"/>
    </row>
    <row r="10">
      <c r="A10" s="18" t="n"/>
      <c r="B10" s="18" t="n"/>
      <c r="C10" s="18" t="n"/>
      <c r="D10" s="18" t="n"/>
      <c r="E10" s="18" t="n"/>
      <c r="F10" s="18" t="n"/>
      <c r="G10" s="18" t="n"/>
      <c r="H10" s="18" t="n"/>
      <c r="J10" s="13" t="inlineStr">
        <is>
          <t>Score = (Done + ½·Partial) ÷ total commitments</t>
        </is>
      </c>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sheetData>
  <autoFilter ref="A4:H54"/>
  <mergeCells count="3">
    <mergeCell ref="J10:N10"/>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"crownseoagency.com,badassbacklinks.com,Both"</formula1>
    </dataValidation>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"Partner 1,Partner 2,Partner 3,All"</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type="list">
      <formula1>"Done,Partial,Missed,In Progress"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4"/>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20" customWidth="1" min="3" max="3"/>
    <col width="18" customWidth="1" min="4" max="4"/>
    <col width="40" customWidth="1" min="5" max="5"/>
    <col width="10" customWidth="1" min="6" max="6"/>
    <col width="13" customWidth="1" min="7" max="7"/>
    <col width="30" customWidth="1" min="8" max="8"/>
    <col width="12" customWidth="1" min="10" max="10"/>
    <col width="12" customWidth="1" min="11" max="11"/>
    <col width="12" customWidth="1" min="12" max="12"/>
  </cols>
  <sheetData>
    <row r="1" ht="34" customHeight="1">
      <c r="A1" s="1" t="inlineStr">
        <is>
          <t>Activity Log</t>
        </is>
      </c>
    </row>
    <row r="2" ht="20" customHeight="1">
      <c r="A2" s="2" t="inlineStr">
        <is>
          <t>Daily record of work done. Log it the day you do it — memory fades fast.</t>
        </is>
      </c>
    </row>
    <row r="4" ht="30" customHeight="1">
      <c r="A4" s="14" t="inlineStr">
        <is>
          <t>Date</t>
        </is>
      </c>
      <c r="B4" s="14" t="inlineStr">
        <is>
          <t>Partner</t>
        </is>
      </c>
      <c r="C4" s="14" t="inlineStr">
        <is>
          <t>Site</t>
        </is>
      </c>
      <c r="D4" s="14" t="inlineStr">
        <is>
          <t>Category</t>
        </is>
      </c>
      <c r="E4" s="14" t="inlineStr">
        <is>
          <t>Task Description</t>
        </is>
      </c>
      <c r="F4" s="14" t="inlineStr">
        <is>
          <t>Time (hrs)</t>
        </is>
      </c>
      <c r="G4" s="14" t="inlineStr">
        <is>
          <t>Status</t>
        </is>
      </c>
      <c r="H4" s="14" t="inlineStr">
        <is>
          <t>Proof / Link</t>
        </is>
      </c>
      <c r="J4" s="3" t="inlineStr">
        <is>
          <t>HOURS LOGGED</t>
        </is>
      </c>
    </row>
    <row r="5">
      <c r="A5" s="18" t="inlineStr">
        <is>
          <t>2026-08-14</t>
        </is>
      </c>
      <c r="B5" s="18" t="inlineStr">
        <is>
          <t>Partner 1</t>
        </is>
      </c>
      <c r="C5" s="18" t="inlineStr">
        <is>
          <t>crownseoagency.com</t>
        </is>
      </c>
      <c r="D5" s="18" t="inlineStr">
        <is>
          <t>Content</t>
        </is>
      </c>
      <c r="E5" s="18" t="inlineStr">
        <is>
          <t>Wrote + published 'Local SEO checklist' post</t>
        </is>
      </c>
      <c r="F5" s="25" t="n">
        <v>3.5</v>
      </c>
      <c r="G5" s="18" t="inlineStr">
        <is>
          <t>Complete</t>
        </is>
      </c>
      <c r="H5" s="18" t="inlineStr">
        <is>
          <t>https://...</t>
        </is>
      </c>
      <c r="J5" s="14" t="inlineStr">
        <is>
          <t>Partner</t>
        </is>
      </c>
      <c r="K5" s="14" t="inlineStr">
        <is>
          <t>Total hrs</t>
        </is>
      </c>
      <c r="L5" s="14" t="inlineStr">
        <is>
          <t>Tasks</t>
        </is>
      </c>
    </row>
    <row r="6">
      <c r="A6" s="18" t="inlineStr">
        <is>
          <t>2026-08-14</t>
        </is>
      </c>
      <c r="B6" s="18" t="inlineStr">
        <is>
          <t>Partner 2</t>
        </is>
      </c>
      <c r="C6" s="18" t="inlineStr">
        <is>
          <t>badassbacklinks.com</t>
        </is>
      </c>
      <c r="D6" s="18" t="inlineStr">
        <is>
          <t>Link Building</t>
        </is>
      </c>
      <c r="E6" s="18" t="inlineStr">
        <is>
          <t>Outreach to 15 prospects for guest posts</t>
        </is>
      </c>
      <c r="F6" s="25" t="n">
        <v>2</v>
      </c>
      <c r="G6" s="18" t="inlineStr">
        <is>
          <t>In Progress</t>
        </is>
      </c>
      <c r="H6" s="18" t="inlineStr">
        <is>
          <t>sheet link</t>
        </is>
      </c>
      <c r="J6" s="21" t="inlineStr">
        <is>
          <t>Partner 1</t>
        </is>
      </c>
      <c r="K6" s="26">
        <f>SUMIFS($F$5:$F$104,$B$5:$B$104,J6)</f>
        <v/>
      </c>
      <c r="L6" s="22">
        <f>COUNTIFS($B$5:$B$104,J6)</f>
        <v/>
      </c>
    </row>
    <row r="7">
      <c r="A7" s="18" t="inlineStr">
        <is>
          <t>2026-08-15</t>
        </is>
      </c>
      <c r="B7" s="18" t="inlineStr">
        <is>
          <t>Partner 3</t>
        </is>
      </c>
      <c r="C7" s="18" t="inlineStr">
        <is>
          <t>crownseoagency.com</t>
        </is>
      </c>
      <c r="D7" s="18" t="inlineStr">
        <is>
          <t>Technical</t>
        </is>
      </c>
      <c r="E7" s="18" t="inlineStr">
        <is>
          <t>Fixed 12 broken internal links</t>
        </is>
      </c>
      <c r="F7" s="25" t="n">
        <v>1.5</v>
      </c>
      <c r="G7" s="18" t="inlineStr">
        <is>
          <t>Complete</t>
        </is>
      </c>
      <c r="H7" s="18" t="inlineStr">
        <is>
          <t>audit export</t>
        </is>
      </c>
      <c r="J7" s="21" t="inlineStr">
        <is>
          <t>Partner 2</t>
        </is>
      </c>
      <c r="K7" s="26">
        <f>SUMIFS($F$5:$F$104,$B$5:$B$104,J7)</f>
        <v/>
      </c>
      <c r="L7" s="22">
        <f>COUNTIFS($B$5:$B$104,J7)</f>
        <v/>
      </c>
    </row>
    <row r="8">
      <c r="A8" s="18" t="n"/>
      <c r="B8" s="18" t="n"/>
      <c r="C8" s="18" t="n"/>
      <c r="D8" s="18" t="n"/>
      <c r="E8" s="18" t="n"/>
      <c r="F8" s="25" t="n"/>
      <c r="G8" s="18" t="n"/>
      <c r="H8" s="18" t="n"/>
      <c r="J8" s="21" t="inlineStr">
        <is>
          <t>Partner 3</t>
        </is>
      </c>
      <c r="K8" s="26">
        <f>SUMIFS($F$5:$F$104,$B$5:$B$104,J8)</f>
        <v/>
      </c>
      <c r="L8" s="22">
        <f>COUNTIFS($B$5:$B$104,J8)</f>
        <v/>
      </c>
    </row>
    <row r="9">
      <c r="A9" s="18" t="n"/>
      <c r="B9" s="18" t="n"/>
      <c r="C9" s="18" t="n"/>
      <c r="D9" s="18" t="n"/>
      <c r="E9" s="18" t="n"/>
      <c r="F9" s="25" t="n"/>
      <c r="G9" s="18" t="n"/>
      <c r="H9" s="18" t="n"/>
      <c r="J9" s="27" t="inlineStr">
        <is>
          <t>TOTAL</t>
        </is>
      </c>
      <c r="K9" s="28">
        <f>SUM(K6:K8)</f>
        <v/>
      </c>
      <c r="L9" s="29">
        <f>SUM(L6:L8)</f>
        <v/>
      </c>
    </row>
    <row r="10">
      <c r="A10" s="18" t="n"/>
      <c r="B10" s="18" t="n"/>
      <c r="C10" s="18" t="n"/>
      <c r="D10" s="18" t="n"/>
      <c r="E10" s="18" t="n"/>
      <c r="F10" s="25" t="n"/>
      <c r="G10" s="18" t="n"/>
      <c r="H10" s="18" t="n"/>
    </row>
    <row r="11">
      <c r="A11" s="18" t="n"/>
      <c r="B11" s="18" t="n"/>
      <c r="C11" s="18" t="n"/>
      <c r="D11" s="18" t="n"/>
      <c r="E11" s="18" t="n"/>
      <c r="F11" s="25" t="n"/>
      <c r="G11" s="18" t="n"/>
      <c r="H11" s="18" t="n"/>
    </row>
    <row r="12">
      <c r="A12" s="18" t="n"/>
      <c r="B12" s="18" t="n"/>
      <c r="C12" s="18" t="n"/>
      <c r="D12" s="18" t="n"/>
      <c r="E12" s="18" t="n"/>
      <c r="F12" s="25" t="n"/>
      <c r="G12" s="18" t="n"/>
      <c r="H12" s="18" t="n"/>
    </row>
    <row r="13">
      <c r="A13" s="18" t="n"/>
      <c r="B13" s="18" t="n"/>
      <c r="C13" s="18" t="n"/>
      <c r="D13" s="18" t="n"/>
      <c r="E13" s="18" t="n"/>
      <c r="F13" s="25" t="n"/>
      <c r="G13" s="18" t="n"/>
      <c r="H13" s="18" t="n"/>
    </row>
    <row r="14">
      <c r="A14" s="18" t="n"/>
      <c r="B14" s="18" t="n"/>
      <c r="C14" s="18" t="n"/>
      <c r="D14" s="18" t="n"/>
      <c r="E14" s="18" t="n"/>
      <c r="F14" s="25" t="n"/>
      <c r="G14" s="18" t="n"/>
      <c r="H14" s="18" t="n"/>
    </row>
    <row r="15">
      <c r="A15" s="18" t="n"/>
      <c r="B15" s="18" t="n"/>
      <c r="C15" s="18" t="n"/>
      <c r="D15" s="18" t="n"/>
      <c r="E15" s="18" t="n"/>
      <c r="F15" s="25" t="n"/>
      <c r="G15" s="18" t="n"/>
      <c r="H15" s="18" t="n"/>
    </row>
    <row r="16">
      <c r="A16" s="18" t="n"/>
      <c r="B16" s="18" t="n"/>
      <c r="C16" s="18" t="n"/>
      <c r="D16" s="18" t="n"/>
      <c r="E16" s="18" t="n"/>
      <c r="F16" s="25" t="n"/>
      <c r="G16" s="18" t="n"/>
      <c r="H16" s="18" t="n"/>
    </row>
    <row r="17">
      <c r="A17" s="18" t="n"/>
      <c r="B17" s="18" t="n"/>
      <c r="C17" s="18" t="n"/>
      <c r="D17" s="18" t="n"/>
      <c r="E17" s="18" t="n"/>
      <c r="F17" s="25" t="n"/>
      <c r="G17" s="18" t="n"/>
      <c r="H17" s="18" t="n"/>
    </row>
    <row r="18">
      <c r="A18" s="18" t="n"/>
      <c r="B18" s="18" t="n"/>
      <c r="C18" s="18" t="n"/>
      <c r="D18" s="18" t="n"/>
      <c r="E18" s="18" t="n"/>
      <c r="F18" s="25" t="n"/>
      <c r="G18" s="18" t="n"/>
      <c r="H18" s="18" t="n"/>
    </row>
    <row r="19">
      <c r="A19" s="18" t="n"/>
      <c r="B19" s="18" t="n"/>
      <c r="C19" s="18" t="n"/>
      <c r="D19" s="18" t="n"/>
      <c r="E19" s="18" t="n"/>
      <c r="F19" s="25" t="n"/>
      <c r="G19" s="18" t="n"/>
      <c r="H19" s="18" t="n"/>
    </row>
    <row r="20">
      <c r="A20" s="18" t="n"/>
      <c r="B20" s="18" t="n"/>
      <c r="C20" s="18" t="n"/>
      <c r="D20" s="18" t="n"/>
      <c r="E20" s="18" t="n"/>
      <c r="F20" s="25" t="n"/>
      <c r="G20" s="18" t="n"/>
      <c r="H20" s="18" t="n"/>
    </row>
    <row r="21">
      <c r="A21" s="18" t="n"/>
      <c r="B21" s="18" t="n"/>
      <c r="C21" s="18" t="n"/>
      <c r="D21" s="18" t="n"/>
      <c r="E21" s="18" t="n"/>
      <c r="F21" s="25" t="n"/>
      <c r="G21" s="18" t="n"/>
      <c r="H21" s="18" t="n"/>
    </row>
    <row r="22">
      <c r="A22" s="18" t="n"/>
      <c r="B22" s="18" t="n"/>
      <c r="C22" s="18" t="n"/>
      <c r="D22" s="18" t="n"/>
      <c r="E22" s="18" t="n"/>
      <c r="F22" s="25" t="n"/>
      <c r="G22" s="18" t="n"/>
      <c r="H22" s="18" t="n"/>
    </row>
    <row r="23">
      <c r="A23" s="18" t="n"/>
      <c r="B23" s="18" t="n"/>
      <c r="C23" s="18" t="n"/>
      <c r="D23" s="18" t="n"/>
      <c r="E23" s="18" t="n"/>
      <c r="F23" s="25" t="n"/>
      <c r="G23" s="18" t="n"/>
      <c r="H23" s="18" t="n"/>
    </row>
    <row r="24">
      <c r="A24" s="18" t="n"/>
      <c r="B24" s="18" t="n"/>
      <c r="C24" s="18" t="n"/>
      <c r="D24" s="18" t="n"/>
      <c r="E24" s="18" t="n"/>
      <c r="F24" s="25" t="n"/>
      <c r="G24" s="18" t="n"/>
      <c r="H24" s="18" t="n"/>
    </row>
    <row r="25">
      <c r="A25" s="18" t="n"/>
      <c r="B25" s="18" t="n"/>
      <c r="C25" s="18" t="n"/>
      <c r="D25" s="18" t="n"/>
      <c r="E25" s="18" t="n"/>
      <c r="F25" s="25" t="n"/>
      <c r="G25" s="18" t="n"/>
      <c r="H25" s="18" t="n"/>
    </row>
    <row r="26">
      <c r="A26" s="18" t="n"/>
      <c r="B26" s="18" t="n"/>
      <c r="C26" s="18" t="n"/>
      <c r="D26" s="18" t="n"/>
      <c r="E26" s="18" t="n"/>
      <c r="F26" s="25" t="n"/>
      <c r="G26" s="18" t="n"/>
      <c r="H26" s="18" t="n"/>
    </row>
    <row r="27">
      <c r="A27" s="18" t="n"/>
      <c r="B27" s="18" t="n"/>
      <c r="C27" s="18" t="n"/>
      <c r="D27" s="18" t="n"/>
      <c r="E27" s="18" t="n"/>
      <c r="F27" s="25" t="n"/>
      <c r="G27" s="18" t="n"/>
      <c r="H27" s="18" t="n"/>
    </row>
    <row r="28">
      <c r="A28" s="18" t="n"/>
      <c r="B28" s="18" t="n"/>
      <c r="C28" s="18" t="n"/>
      <c r="D28" s="18" t="n"/>
      <c r="E28" s="18" t="n"/>
      <c r="F28" s="25" t="n"/>
      <c r="G28" s="18" t="n"/>
      <c r="H28" s="18" t="n"/>
    </row>
    <row r="29">
      <c r="A29" s="18" t="n"/>
      <c r="B29" s="18" t="n"/>
      <c r="C29" s="18" t="n"/>
      <c r="D29" s="18" t="n"/>
      <c r="E29" s="18" t="n"/>
      <c r="F29" s="25" t="n"/>
      <c r="G29" s="18" t="n"/>
      <c r="H29" s="18" t="n"/>
    </row>
    <row r="30">
      <c r="A30" s="18" t="n"/>
      <c r="B30" s="18" t="n"/>
      <c r="C30" s="18" t="n"/>
      <c r="D30" s="18" t="n"/>
      <c r="E30" s="18" t="n"/>
      <c r="F30" s="25" t="n"/>
      <c r="G30" s="18" t="n"/>
      <c r="H30" s="18" t="n"/>
    </row>
    <row r="31">
      <c r="A31" s="18" t="n"/>
      <c r="B31" s="18" t="n"/>
      <c r="C31" s="18" t="n"/>
      <c r="D31" s="18" t="n"/>
      <c r="E31" s="18" t="n"/>
      <c r="F31" s="25" t="n"/>
      <c r="G31" s="18" t="n"/>
      <c r="H31" s="18" t="n"/>
    </row>
    <row r="32">
      <c r="A32" s="18" t="n"/>
      <c r="B32" s="18" t="n"/>
      <c r="C32" s="18" t="n"/>
      <c r="D32" s="18" t="n"/>
      <c r="E32" s="18" t="n"/>
      <c r="F32" s="25" t="n"/>
      <c r="G32" s="18" t="n"/>
      <c r="H32" s="18" t="n"/>
    </row>
    <row r="33">
      <c r="A33" s="18" t="n"/>
      <c r="B33" s="18" t="n"/>
      <c r="C33" s="18" t="n"/>
      <c r="D33" s="18" t="n"/>
      <c r="E33" s="18" t="n"/>
      <c r="F33" s="25" t="n"/>
      <c r="G33" s="18" t="n"/>
      <c r="H33" s="18" t="n"/>
    </row>
    <row r="34">
      <c r="A34" s="18" t="n"/>
      <c r="B34" s="18" t="n"/>
      <c r="C34" s="18" t="n"/>
      <c r="D34" s="18" t="n"/>
      <c r="E34" s="18" t="n"/>
      <c r="F34" s="25" t="n"/>
      <c r="G34" s="18" t="n"/>
      <c r="H34" s="18" t="n"/>
    </row>
    <row r="35">
      <c r="A35" s="18" t="n"/>
      <c r="B35" s="18" t="n"/>
      <c r="C35" s="18" t="n"/>
      <c r="D35" s="18" t="n"/>
      <c r="E35" s="18" t="n"/>
      <c r="F35" s="25" t="n"/>
      <c r="G35" s="18" t="n"/>
      <c r="H35" s="18" t="n"/>
    </row>
    <row r="36">
      <c r="A36" s="18" t="n"/>
      <c r="B36" s="18" t="n"/>
      <c r="C36" s="18" t="n"/>
      <c r="D36" s="18" t="n"/>
      <c r="E36" s="18" t="n"/>
      <c r="F36" s="25" t="n"/>
      <c r="G36" s="18" t="n"/>
      <c r="H36" s="18" t="n"/>
    </row>
    <row r="37">
      <c r="A37" s="18" t="n"/>
      <c r="B37" s="18" t="n"/>
      <c r="C37" s="18" t="n"/>
      <c r="D37" s="18" t="n"/>
      <c r="E37" s="18" t="n"/>
      <c r="F37" s="25" t="n"/>
      <c r="G37" s="18" t="n"/>
      <c r="H37" s="18" t="n"/>
    </row>
    <row r="38">
      <c r="A38" s="18" t="n"/>
      <c r="B38" s="18" t="n"/>
      <c r="C38" s="18" t="n"/>
      <c r="D38" s="18" t="n"/>
      <c r="E38" s="18" t="n"/>
      <c r="F38" s="25" t="n"/>
      <c r="G38" s="18" t="n"/>
      <c r="H38" s="18" t="n"/>
    </row>
    <row r="39">
      <c r="A39" s="18" t="n"/>
      <c r="B39" s="18" t="n"/>
      <c r="C39" s="18" t="n"/>
      <c r="D39" s="18" t="n"/>
      <c r="E39" s="18" t="n"/>
      <c r="F39" s="25" t="n"/>
      <c r="G39" s="18" t="n"/>
      <c r="H39" s="18" t="n"/>
    </row>
    <row r="40">
      <c r="A40" s="18" t="n"/>
      <c r="B40" s="18" t="n"/>
      <c r="C40" s="18" t="n"/>
      <c r="D40" s="18" t="n"/>
      <c r="E40" s="18" t="n"/>
      <c r="F40" s="25" t="n"/>
      <c r="G40" s="18" t="n"/>
      <c r="H40" s="18" t="n"/>
    </row>
    <row r="41">
      <c r="A41" s="18" t="n"/>
      <c r="B41" s="18" t="n"/>
      <c r="C41" s="18" t="n"/>
      <c r="D41" s="18" t="n"/>
      <c r="E41" s="18" t="n"/>
      <c r="F41" s="25" t="n"/>
      <c r="G41" s="18" t="n"/>
      <c r="H41" s="18" t="n"/>
    </row>
    <row r="42">
      <c r="A42" s="18" t="n"/>
      <c r="B42" s="18" t="n"/>
      <c r="C42" s="18" t="n"/>
      <c r="D42" s="18" t="n"/>
      <c r="E42" s="18" t="n"/>
      <c r="F42" s="25" t="n"/>
      <c r="G42" s="18" t="n"/>
      <c r="H42" s="18" t="n"/>
    </row>
    <row r="43">
      <c r="A43" s="18" t="n"/>
      <c r="B43" s="18" t="n"/>
      <c r="C43" s="18" t="n"/>
      <c r="D43" s="18" t="n"/>
      <c r="E43" s="18" t="n"/>
      <c r="F43" s="25" t="n"/>
      <c r="G43" s="18" t="n"/>
      <c r="H43" s="18" t="n"/>
    </row>
    <row r="44">
      <c r="A44" s="18" t="n"/>
      <c r="B44" s="18" t="n"/>
      <c r="C44" s="18" t="n"/>
      <c r="D44" s="18" t="n"/>
      <c r="E44" s="18" t="n"/>
      <c r="F44" s="25" t="n"/>
      <c r="G44" s="18" t="n"/>
      <c r="H44" s="18" t="n"/>
    </row>
    <row r="45">
      <c r="A45" s="18" t="n"/>
      <c r="B45" s="18" t="n"/>
      <c r="C45" s="18" t="n"/>
      <c r="D45" s="18" t="n"/>
      <c r="E45" s="18" t="n"/>
      <c r="F45" s="25" t="n"/>
      <c r="G45" s="18" t="n"/>
      <c r="H45" s="18" t="n"/>
    </row>
    <row r="46">
      <c r="A46" s="18" t="n"/>
      <c r="B46" s="18" t="n"/>
      <c r="C46" s="18" t="n"/>
      <c r="D46" s="18" t="n"/>
      <c r="E46" s="18" t="n"/>
      <c r="F46" s="25" t="n"/>
      <c r="G46" s="18" t="n"/>
      <c r="H46" s="18" t="n"/>
    </row>
    <row r="47">
      <c r="A47" s="18" t="n"/>
      <c r="B47" s="18" t="n"/>
      <c r="C47" s="18" t="n"/>
      <c r="D47" s="18" t="n"/>
      <c r="E47" s="18" t="n"/>
      <c r="F47" s="25" t="n"/>
      <c r="G47" s="18" t="n"/>
      <c r="H47" s="18" t="n"/>
    </row>
    <row r="48">
      <c r="A48" s="18" t="n"/>
      <c r="B48" s="18" t="n"/>
      <c r="C48" s="18" t="n"/>
      <c r="D48" s="18" t="n"/>
      <c r="E48" s="18" t="n"/>
      <c r="F48" s="25" t="n"/>
      <c r="G48" s="18" t="n"/>
      <c r="H48" s="18" t="n"/>
    </row>
    <row r="49">
      <c r="A49" s="18" t="n"/>
      <c r="B49" s="18" t="n"/>
      <c r="C49" s="18" t="n"/>
      <c r="D49" s="18" t="n"/>
      <c r="E49" s="18" t="n"/>
      <c r="F49" s="25" t="n"/>
      <c r="G49" s="18" t="n"/>
      <c r="H49" s="18" t="n"/>
    </row>
    <row r="50">
      <c r="A50" s="18" t="n"/>
      <c r="B50" s="18" t="n"/>
      <c r="C50" s="18" t="n"/>
      <c r="D50" s="18" t="n"/>
      <c r="E50" s="18" t="n"/>
      <c r="F50" s="25" t="n"/>
      <c r="G50" s="18" t="n"/>
      <c r="H50" s="18" t="n"/>
    </row>
    <row r="51">
      <c r="A51" s="18" t="n"/>
      <c r="B51" s="18" t="n"/>
      <c r="C51" s="18" t="n"/>
      <c r="D51" s="18" t="n"/>
      <c r="E51" s="18" t="n"/>
      <c r="F51" s="25" t="n"/>
      <c r="G51" s="18" t="n"/>
      <c r="H51" s="18" t="n"/>
    </row>
    <row r="52">
      <c r="A52" s="18" t="n"/>
      <c r="B52" s="18" t="n"/>
      <c r="C52" s="18" t="n"/>
      <c r="D52" s="18" t="n"/>
      <c r="E52" s="18" t="n"/>
      <c r="F52" s="25" t="n"/>
      <c r="G52" s="18" t="n"/>
      <c r="H52" s="18" t="n"/>
    </row>
    <row r="53">
      <c r="A53" s="18" t="n"/>
      <c r="B53" s="18" t="n"/>
      <c r="C53" s="18" t="n"/>
      <c r="D53" s="18" t="n"/>
      <c r="E53" s="18" t="n"/>
      <c r="F53" s="25" t="n"/>
      <c r="G53" s="18" t="n"/>
      <c r="H53" s="18" t="n"/>
    </row>
    <row r="54">
      <c r="A54" s="18" t="n"/>
      <c r="B54" s="18" t="n"/>
      <c r="C54" s="18" t="n"/>
      <c r="D54" s="18" t="n"/>
      <c r="E54" s="18" t="n"/>
      <c r="F54" s="25" t="n"/>
      <c r="G54" s="18" t="n"/>
      <c r="H54" s="18" t="n"/>
    </row>
    <row r="55">
      <c r="A55" s="18" t="n"/>
      <c r="B55" s="18" t="n"/>
      <c r="C55" s="18" t="n"/>
      <c r="D55" s="18" t="n"/>
      <c r="E55" s="18" t="n"/>
      <c r="F55" s="25" t="n"/>
      <c r="G55" s="18" t="n"/>
      <c r="H55" s="18" t="n"/>
    </row>
    <row r="56">
      <c r="A56" s="18" t="n"/>
      <c r="B56" s="18" t="n"/>
      <c r="C56" s="18" t="n"/>
      <c r="D56" s="18" t="n"/>
      <c r="E56" s="18" t="n"/>
      <c r="F56" s="25" t="n"/>
      <c r="G56" s="18" t="n"/>
      <c r="H56" s="18" t="n"/>
    </row>
    <row r="57">
      <c r="A57" s="18" t="n"/>
      <c r="B57" s="18" t="n"/>
      <c r="C57" s="18" t="n"/>
      <c r="D57" s="18" t="n"/>
      <c r="E57" s="18" t="n"/>
      <c r="F57" s="25" t="n"/>
      <c r="G57" s="18" t="n"/>
      <c r="H57" s="18" t="n"/>
    </row>
    <row r="58">
      <c r="A58" s="18" t="n"/>
      <c r="B58" s="18" t="n"/>
      <c r="C58" s="18" t="n"/>
      <c r="D58" s="18" t="n"/>
      <c r="E58" s="18" t="n"/>
      <c r="F58" s="25" t="n"/>
      <c r="G58" s="18" t="n"/>
      <c r="H58" s="18" t="n"/>
    </row>
    <row r="59">
      <c r="A59" s="18" t="n"/>
      <c r="B59" s="18" t="n"/>
      <c r="C59" s="18" t="n"/>
      <c r="D59" s="18" t="n"/>
      <c r="E59" s="18" t="n"/>
      <c r="F59" s="25" t="n"/>
      <c r="G59" s="18" t="n"/>
      <c r="H59" s="18" t="n"/>
    </row>
    <row r="60">
      <c r="A60" s="18" t="n"/>
      <c r="B60" s="18" t="n"/>
      <c r="C60" s="18" t="n"/>
      <c r="D60" s="18" t="n"/>
      <c r="E60" s="18" t="n"/>
      <c r="F60" s="25" t="n"/>
      <c r="G60" s="18" t="n"/>
      <c r="H60" s="18" t="n"/>
    </row>
    <row r="61">
      <c r="A61" s="18" t="n"/>
      <c r="B61" s="18" t="n"/>
      <c r="C61" s="18" t="n"/>
      <c r="D61" s="18" t="n"/>
      <c r="E61" s="18" t="n"/>
      <c r="F61" s="25" t="n"/>
      <c r="G61" s="18" t="n"/>
      <c r="H61" s="18" t="n"/>
    </row>
    <row r="62">
      <c r="A62" s="18" t="n"/>
      <c r="B62" s="18" t="n"/>
      <c r="C62" s="18" t="n"/>
      <c r="D62" s="18" t="n"/>
      <c r="E62" s="18" t="n"/>
      <c r="F62" s="25" t="n"/>
      <c r="G62" s="18" t="n"/>
      <c r="H62" s="18" t="n"/>
    </row>
    <row r="63">
      <c r="A63" s="18" t="n"/>
      <c r="B63" s="18" t="n"/>
      <c r="C63" s="18" t="n"/>
      <c r="D63" s="18" t="n"/>
      <c r="E63" s="18" t="n"/>
      <c r="F63" s="25" t="n"/>
      <c r="G63" s="18" t="n"/>
      <c r="H63" s="18" t="n"/>
    </row>
    <row r="64">
      <c r="A64" s="18" t="n"/>
      <c r="B64" s="18" t="n"/>
      <c r="C64" s="18" t="n"/>
      <c r="D64" s="18" t="n"/>
      <c r="E64" s="18" t="n"/>
      <c r="F64" s="25" t="n"/>
      <c r="G64" s="18" t="n"/>
      <c r="H64" s="18" t="n"/>
    </row>
    <row r="65">
      <c r="A65" s="18" t="n"/>
      <c r="B65" s="18" t="n"/>
      <c r="C65" s="18" t="n"/>
      <c r="D65" s="18" t="n"/>
      <c r="E65" s="18" t="n"/>
      <c r="F65" s="25" t="n"/>
      <c r="G65" s="18" t="n"/>
      <c r="H65" s="18" t="n"/>
    </row>
    <row r="66">
      <c r="A66" s="18" t="n"/>
      <c r="B66" s="18" t="n"/>
      <c r="C66" s="18" t="n"/>
      <c r="D66" s="18" t="n"/>
      <c r="E66" s="18" t="n"/>
      <c r="F66" s="25" t="n"/>
      <c r="G66" s="18" t="n"/>
      <c r="H66" s="18" t="n"/>
    </row>
    <row r="67">
      <c r="A67" s="18" t="n"/>
      <c r="B67" s="18" t="n"/>
      <c r="C67" s="18" t="n"/>
      <c r="D67" s="18" t="n"/>
      <c r="E67" s="18" t="n"/>
      <c r="F67" s="25" t="n"/>
      <c r="G67" s="18" t="n"/>
      <c r="H67" s="18" t="n"/>
    </row>
    <row r="68">
      <c r="A68" s="18" t="n"/>
      <c r="B68" s="18" t="n"/>
      <c r="C68" s="18" t="n"/>
      <c r="D68" s="18" t="n"/>
      <c r="E68" s="18" t="n"/>
      <c r="F68" s="25" t="n"/>
      <c r="G68" s="18" t="n"/>
      <c r="H68" s="18" t="n"/>
    </row>
    <row r="69">
      <c r="A69" s="18" t="n"/>
      <c r="B69" s="18" t="n"/>
      <c r="C69" s="18" t="n"/>
      <c r="D69" s="18" t="n"/>
      <c r="E69" s="18" t="n"/>
      <c r="F69" s="25" t="n"/>
      <c r="G69" s="18" t="n"/>
      <c r="H69" s="18" t="n"/>
    </row>
    <row r="70">
      <c r="A70" s="18" t="n"/>
      <c r="B70" s="18" t="n"/>
      <c r="C70" s="18" t="n"/>
      <c r="D70" s="18" t="n"/>
      <c r="E70" s="18" t="n"/>
      <c r="F70" s="25" t="n"/>
      <c r="G70" s="18" t="n"/>
      <c r="H70" s="18" t="n"/>
    </row>
    <row r="71">
      <c r="A71" s="18" t="n"/>
      <c r="B71" s="18" t="n"/>
      <c r="C71" s="18" t="n"/>
      <c r="D71" s="18" t="n"/>
      <c r="E71" s="18" t="n"/>
      <c r="F71" s="25" t="n"/>
      <c r="G71" s="18" t="n"/>
      <c r="H71" s="18" t="n"/>
    </row>
    <row r="72">
      <c r="A72" s="18" t="n"/>
      <c r="B72" s="18" t="n"/>
      <c r="C72" s="18" t="n"/>
      <c r="D72" s="18" t="n"/>
      <c r="E72" s="18" t="n"/>
      <c r="F72" s="25" t="n"/>
      <c r="G72" s="18" t="n"/>
      <c r="H72" s="18" t="n"/>
    </row>
    <row r="73">
      <c r="A73" s="18" t="n"/>
      <c r="B73" s="18" t="n"/>
      <c r="C73" s="18" t="n"/>
      <c r="D73" s="18" t="n"/>
      <c r="E73" s="18" t="n"/>
      <c r="F73" s="25" t="n"/>
      <c r="G73" s="18" t="n"/>
      <c r="H73" s="18" t="n"/>
    </row>
    <row r="74">
      <c r="A74" s="18" t="n"/>
      <c r="B74" s="18" t="n"/>
      <c r="C74" s="18" t="n"/>
      <c r="D74" s="18" t="n"/>
      <c r="E74" s="18" t="n"/>
      <c r="F74" s="25" t="n"/>
      <c r="G74" s="18" t="n"/>
      <c r="H74" s="18" t="n"/>
    </row>
    <row r="75">
      <c r="A75" s="18" t="n"/>
      <c r="B75" s="18" t="n"/>
      <c r="C75" s="18" t="n"/>
      <c r="D75" s="18" t="n"/>
      <c r="E75" s="18" t="n"/>
      <c r="F75" s="25" t="n"/>
      <c r="G75" s="18" t="n"/>
      <c r="H75" s="18" t="n"/>
    </row>
    <row r="76">
      <c r="A76" s="18" t="n"/>
      <c r="B76" s="18" t="n"/>
      <c r="C76" s="18" t="n"/>
      <c r="D76" s="18" t="n"/>
      <c r="E76" s="18" t="n"/>
      <c r="F76" s="25" t="n"/>
      <c r="G76" s="18" t="n"/>
      <c r="H76" s="18" t="n"/>
    </row>
    <row r="77">
      <c r="A77" s="18" t="n"/>
      <c r="B77" s="18" t="n"/>
      <c r="C77" s="18" t="n"/>
      <c r="D77" s="18" t="n"/>
      <c r="E77" s="18" t="n"/>
      <c r="F77" s="25" t="n"/>
      <c r="G77" s="18" t="n"/>
      <c r="H77" s="18" t="n"/>
    </row>
    <row r="78">
      <c r="A78" s="18" t="n"/>
      <c r="B78" s="18" t="n"/>
      <c r="C78" s="18" t="n"/>
      <c r="D78" s="18" t="n"/>
      <c r="E78" s="18" t="n"/>
      <c r="F78" s="25" t="n"/>
      <c r="G78" s="18" t="n"/>
      <c r="H78" s="18" t="n"/>
    </row>
    <row r="79">
      <c r="A79" s="18" t="n"/>
      <c r="B79" s="18" t="n"/>
      <c r="C79" s="18" t="n"/>
      <c r="D79" s="18" t="n"/>
      <c r="E79" s="18" t="n"/>
      <c r="F79" s="25" t="n"/>
      <c r="G79" s="18" t="n"/>
      <c r="H79" s="18" t="n"/>
    </row>
    <row r="80">
      <c r="A80" s="18" t="n"/>
      <c r="B80" s="18" t="n"/>
      <c r="C80" s="18" t="n"/>
      <c r="D80" s="18" t="n"/>
      <c r="E80" s="18" t="n"/>
      <c r="F80" s="25" t="n"/>
      <c r="G80" s="18" t="n"/>
      <c r="H80" s="18" t="n"/>
    </row>
    <row r="81">
      <c r="A81" s="18" t="n"/>
      <c r="B81" s="18" t="n"/>
      <c r="C81" s="18" t="n"/>
      <c r="D81" s="18" t="n"/>
      <c r="E81" s="18" t="n"/>
      <c r="F81" s="25" t="n"/>
      <c r="G81" s="18" t="n"/>
      <c r="H81" s="18" t="n"/>
    </row>
    <row r="82">
      <c r="A82" s="18" t="n"/>
      <c r="B82" s="18" t="n"/>
      <c r="C82" s="18" t="n"/>
      <c r="D82" s="18" t="n"/>
      <c r="E82" s="18" t="n"/>
      <c r="F82" s="25" t="n"/>
      <c r="G82" s="18" t="n"/>
      <c r="H82" s="18" t="n"/>
    </row>
    <row r="83">
      <c r="A83" s="18" t="n"/>
      <c r="B83" s="18" t="n"/>
      <c r="C83" s="18" t="n"/>
      <c r="D83" s="18" t="n"/>
      <c r="E83" s="18" t="n"/>
      <c r="F83" s="25" t="n"/>
      <c r="G83" s="18" t="n"/>
      <c r="H83" s="18" t="n"/>
    </row>
    <row r="84">
      <c r="A84" s="18" t="n"/>
      <c r="B84" s="18" t="n"/>
      <c r="C84" s="18" t="n"/>
      <c r="D84" s="18" t="n"/>
      <c r="E84" s="18" t="n"/>
      <c r="F84" s="25" t="n"/>
      <c r="G84" s="18" t="n"/>
      <c r="H84" s="18" t="n"/>
    </row>
    <row r="85">
      <c r="A85" s="18" t="n"/>
      <c r="B85" s="18" t="n"/>
      <c r="C85" s="18" t="n"/>
      <c r="D85" s="18" t="n"/>
      <c r="E85" s="18" t="n"/>
      <c r="F85" s="25" t="n"/>
      <c r="G85" s="18" t="n"/>
      <c r="H85" s="18" t="n"/>
    </row>
    <row r="86">
      <c r="A86" s="18" t="n"/>
      <c r="B86" s="18" t="n"/>
      <c r="C86" s="18" t="n"/>
      <c r="D86" s="18" t="n"/>
      <c r="E86" s="18" t="n"/>
      <c r="F86" s="25" t="n"/>
      <c r="G86" s="18" t="n"/>
      <c r="H86" s="18" t="n"/>
    </row>
    <row r="87">
      <c r="A87" s="18" t="n"/>
      <c r="B87" s="18" t="n"/>
      <c r="C87" s="18" t="n"/>
      <c r="D87" s="18" t="n"/>
      <c r="E87" s="18" t="n"/>
      <c r="F87" s="25" t="n"/>
      <c r="G87" s="18" t="n"/>
      <c r="H87" s="18" t="n"/>
    </row>
    <row r="88">
      <c r="A88" s="18" t="n"/>
      <c r="B88" s="18" t="n"/>
      <c r="C88" s="18" t="n"/>
      <c r="D88" s="18" t="n"/>
      <c r="E88" s="18" t="n"/>
      <c r="F88" s="25" t="n"/>
      <c r="G88" s="18" t="n"/>
      <c r="H88" s="18" t="n"/>
    </row>
    <row r="89">
      <c r="A89" s="18" t="n"/>
      <c r="B89" s="18" t="n"/>
      <c r="C89" s="18" t="n"/>
      <c r="D89" s="18" t="n"/>
      <c r="E89" s="18" t="n"/>
      <c r="F89" s="25" t="n"/>
      <c r="G89" s="18" t="n"/>
      <c r="H89" s="18" t="n"/>
    </row>
    <row r="90">
      <c r="A90" s="18" t="n"/>
      <c r="B90" s="18" t="n"/>
      <c r="C90" s="18" t="n"/>
      <c r="D90" s="18" t="n"/>
      <c r="E90" s="18" t="n"/>
      <c r="F90" s="25" t="n"/>
      <c r="G90" s="18" t="n"/>
      <c r="H90" s="18" t="n"/>
    </row>
    <row r="91">
      <c r="A91" s="18" t="n"/>
      <c r="B91" s="18" t="n"/>
      <c r="C91" s="18" t="n"/>
      <c r="D91" s="18" t="n"/>
      <c r="E91" s="18" t="n"/>
      <c r="F91" s="25" t="n"/>
      <c r="G91" s="18" t="n"/>
      <c r="H91" s="18" t="n"/>
    </row>
    <row r="92">
      <c r="A92" s="18" t="n"/>
      <c r="B92" s="18" t="n"/>
      <c r="C92" s="18" t="n"/>
      <c r="D92" s="18" t="n"/>
      <c r="E92" s="18" t="n"/>
      <c r="F92" s="25" t="n"/>
      <c r="G92" s="18" t="n"/>
      <c r="H92" s="18" t="n"/>
    </row>
    <row r="93">
      <c r="A93" s="18" t="n"/>
      <c r="B93" s="18" t="n"/>
      <c r="C93" s="18" t="n"/>
      <c r="D93" s="18" t="n"/>
      <c r="E93" s="18" t="n"/>
      <c r="F93" s="25" t="n"/>
      <c r="G93" s="18" t="n"/>
      <c r="H93" s="18" t="n"/>
    </row>
    <row r="94">
      <c r="A94" s="18" t="n"/>
      <c r="B94" s="18" t="n"/>
      <c r="C94" s="18" t="n"/>
      <c r="D94" s="18" t="n"/>
      <c r="E94" s="18" t="n"/>
      <c r="F94" s="25" t="n"/>
      <c r="G94" s="18" t="n"/>
      <c r="H94" s="18" t="n"/>
    </row>
    <row r="95">
      <c r="A95" s="18" t="n"/>
      <c r="B95" s="18" t="n"/>
      <c r="C95" s="18" t="n"/>
      <c r="D95" s="18" t="n"/>
      <c r="E95" s="18" t="n"/>
      <c r="F95" s="25" t="n"/>
      <c r="G95" s="18" t="n"/>
      <c r="H95" s="18" t="n"/>
    </row>
    <row r="96">
      <c r="A96" s="18" t="n"/>
      <c r="B96" s="18" t="n"/>
      <c r="C96" s="18" t="n"/>
      <c r="D96" s="18" t="n"/>
      <c r="E96" s="18" t="n"/>
      <c r="F96" s="25" t="n"/>
      <c r="G96" s="18" t="n"/>
      <c r="H96" s="18" t="n"/>
    </row>
    <row r="97">
      <c r="A97" s="18" t="n"/>
      <c r="B97" s="18" t="n"/>
      <c r="C97" s="18" t="n"/>
      <c r="D97" s="18" t="n"/>
      <c r="E97" s="18" t="n"/>
      <c r="F97" s="25" t="n"/>
      <c r="G97" s="18" t="n"/>
      <c r="H97" s="18" t="n"/>
    </row>
    <row r="98">
      <c r="A98" s="18" t="n"/>
      <c r="B98" s="18" t="n"/>
      <c r="C98" s="18" t="n"/>
      <c r="D98" s="18" t="n"/>
      <c r="E98" s="18" t="n"/>
      <c r="F98" s="25" t="n"/>
      <c r="G98" s="18" t="n"/>
      <c r="H98" s="18" t="n"/>
    </row>
    <row r="99">
      <c r="A99" s="18" t="n"/>
      <c r="B99" s="18" t="n"/>
      <c r="C99" s="18" t="n"/>
      <c r="D99" s="18" t="n"/>
      <c r="E99" s="18" t="n"/>
      <c r="F99" s="25" t="n"/>
      <c r="G99" s="18" t="n"/>
      <c r="H99" s="18" t="n"/>
    </row>
    <row r="100">
      <c r="A100" s="18" t="n"/>
      <c r="B100" s="18" t="n"/>
      <c r="C100" s="18" t="n"/>
      <c r="D100" s="18" t="n"/>
      <c r="E100" s="18" t="n"/>
      <c r="F100" s="25" t="n"/>
      <c r="G100" s="18" t="n"/>
      <c r="H100" s="18" t="n"/>
    </row>
    <row r="101">
      <c r="A101" s="18" t="n"/>
      <c r="B101" s="18" t="n"/>
      <c r="C101" s="18" t="n"/>
      <c r="D101" s="18" t="n"/>
      <c r="E101" s="18" t="n"/>
      <c r="F101" s="25" t="n"/>
      <c r="G101" s="18" t="n"/>
      <c r="H101" s="18" t="n"/>
    </row>
    <row r="102">
      <c r="A102" s="18" t="n"/>
      <c r="B102" s="18" t="n"/>
      <c r="C102" s="18" t="n"/>
      <c r="D102" s="18" t="n"/>
      <c r="E102" s="18" t="n"/>
      <c r="F102" s="25" t="n"/>
      <c r="G102" s="18" t="n"/>
      <c r="H102" s="18" t="n"/>
    </row>
    <row r="103">
      <c r="A103" s="18" t="n"/>
      <c r="B103" s="18" t="n"/>
      <c r="C103" s="18" t="n"/>
      <c r="D103" s="18" t="n"/>
      <c r="E103" s="18" t="n"/>
      <c r="F103" s="25" t="n"/>
      <c r="G103" s="18" t="n"/>
      <c r="H103" s="18" t="n"/>
    </row>
    <row r="104">
      <c r="A104" s="18" t="n"/>
      <c r="B104" s="18" t="n"/>
      <c r="C104" s="18" t="n"/>
      <c r="D104" s="18" t="n"/>
      <c r="E104" s="18" t="n"/>
      <c r="F104" s="25" t="n"/>
      <c r="G104" s="18" t="n"/>
      <c r="H104" s="18" t="n"/>
    </row>
  </sheetData>
  <autoFilter ref="A4:H104"/>
  <mergeCells count="2">
    <mergeCell ref="A2:H2"/>
    <mergeCell ref="A1:H1"/>
  </mergeCells>
  <dataValidations count="4">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"crownseoagency.com,badassbacklinks.com"</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"Partner 1,Partner 2,Partner 3"</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type="list">
      <formula1>"Keyword Research,Content,Link Building,Technical,On-Page,Outreach,Reporting,Other"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"Complete,In Progress,Blocked"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4"/>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22" customWidth="1" min="3" max="3"/>
    <col width="8" customWidth="1" min="4" max="4"/>
    <col width="26" customWidth="1" min="5" max="5"/>
    <col width="15" customWidth="1" min="6" max="6"/>
    <col width="14" customWidth="1" min="7" max="7"/>
    <col width="13" customWidth="1" min="8" max="8"/>
    <col width="12" customWidth="1" min="9" max="9"/>
    <col width="12" customWidth="1" min="10" max="10"/>
    <col width="26" customWidth="1" min="11" max="11"/>
    <col width="16" customWidth="1" min="13" max="13"/>
    <col width="16" customWidth="1" min="14" max="14"/>
  </cols>
  <sheetData>
    <row r="1" ht="34" customHeight="1">
      <c r="A1" s="1" t="inlineStr">
        <is>
          <t>Outreach Pipeline</t>
        </is>
      </c>
    </row>
    <row r="2" ht="20" customHeight="1">
      <c r="A2" s="2" t="inlineStr">
        <is>
          <t>The link-building funnel. When Status = Won, add the link to the Backlinks tab.</t>
        </is>
      </c>
    </row>
    <row r="4" ht="30" customHeight="1">
      <c r="A4" s="14" t="inlineStr">
        <is>
          <t>Date Added</t>
        </is>
      </c>
      <c r="B4" s="14" t="inlineStr">
        <is>
          <t>Site</t>
        </is>
      </c>
      <c r="C4" s="14" t="inlineStr">
        <is>
          <t>Prospect Domain</t>
        </is>
      </c>
      <c r="D4" s="14" t="inlineStr">
        <is>
          <t>DR/DA</t>
        </is>
      </c>
      <c r="E4" s="14" t="inlineStr">
        <is>
          <t>Contact (name / email)</t>
        </is>
      </c>
      <c r="F4" s="14" t="inlineStr">
        <is>
          <t>Method</t>
        </is>
      </c>
      <c r="G4" s="14" t="inlineStr">
        <is>
          <t>Status</t>
        </is>
      </c>
      <c r="H4" s="14" t="inlineStr">
        <is>
          <t>Follow-up Date</t>
        </is>
      </c>
      <c r="I4" s="14" t="inlineStr">
        <is>
          <t>Est. Cost ($)</t>
        </is>
      </c>
      <c r="J4" s="14" t="inlineStr">
        <is>
          <t>Owner</t>
        </is>
      </c>
      <c r="K4" s="14" t="inlineStr">
        <is>
          <t>Notes</t>
        </is>
      </c>
      <c r="M4" s="3" t="inlineStr">
        <is>
          <t>PIPELINE FUNNEL</t>
        </is>
      </c>
    </row>
    <row r="5">
      <c r="A5" s="18" t="inlineStr">
        <is>
          <t>2026-08-11</t>
        </is>
      </c>
      <c r="B5" s="18" t="inlineStr">
        <is>
          <t>badassbacklinks.com</t>
        </is>
      </c>
      <c r="C5" s="18" t="inlineStr">
        <is>
          <t>authorityblog.com</t>
        </is>
      </c>
      <c r="D5" s="18" t="n">
        <v>58</v>
      </c>
      <c r="E5" s="18" t="inlineStr">
        <is>
          <t>editor@authorityblog.com</t>
        </is>
      </c>
      <c r="F5" s="18" t="inlineStr">
        <is>
          <t>Guest Post</t>
        </is>
      </c>
      <c r="G5" s="18" t="inlineStr">
        <is>
          <t>Negotiating</t>
        </is>
      </c>
      <c r="H5" s="18" t="inlineStr">
        <is>
          <t>2026-08-19</t>
        </is>
      </c>
      <c r="I5" s="30" t="n">
        <v>150</v>
      </c>
      <c r="J5" s="18" t="inlineStr">
        <is>
          <t>Partner 2</t>
        </is>
      </c>
      <c r="K5" s="18" t="inlineStr">
        <is>
          <t>Wants 2 links/mo deal</t>
        </is>
      </c>
      <c r="M5" s="14" t="inlineStr">
        <is>
          <t>Stage</t>
        </is>
      </c>
      <c r="N5" s="14" t="inlineStr">
        <is>
          <t>Count</t>
        </is>
      </c>
    </row>
    <row r="6">
      <c r="A6" s="18" t="inlineStr">
        <is>
          <t>2026-08-12</t>
        </is>
      </c>
      <c r="B6" s="18" t="inlineStr">
        <is>
          <t>crownseoagency.com</t>
        </is>
      </c>
      <c r="C6" s="18" t="inlineStr">
        <is>
          <t>localmarketing.net</t>
        </is>
      </c>
      <c r="D6" s="18" t="n">
        <v>44</v>
      </c>
      <c r="E6" s="18" t="inlineStr">
        <is>
          <t>Jane (contact form)</t>
        </is>
      </c>
      <c r="F6" s="18" t="inlineStr">
        <is>
          <t>Niche Edit</t>
        </is>
      </c>
      <c r="G6" s="18" t="inlineStr">
        <is>
          <t>Replied</t>
        </is>
      </c>
      <c r="H6" s="18" t="inlineStr">
        <is>
          <t>2026-08-18</t>
        </is>
      </c>
      <c r="I6" s="30" t="n">
        <v>90</v>
      </c>
      <c r="J6" s="18" t="inlineStr">
        <is>
          <t>Partner 1</t>
        </is>
      </c>
      <c r="K6" s="18" t="inlineStr">
        <is>
          <t>Open to insert</t>
        </is>
      </c>
      <c r="M6" s="21" t="inlineStr">
        <is>
          <t>Not Contacted</t>
        </is>
      </c>
      <c r="N6" s="22">
        <f>COUNTIF($G$5:$G$104,"Not Contacted")</f>
        <v/>
      </c>
    </row>
    <row r="7">
      <c r="A7" s="18" t="inlineStr">
        <is>
          <t>2026-08-13</t>
        </is>
      </c>
      <c r="B7" s="18" t="inlineStr">
        <is>
          <t>badassbacklinks.com</t>
        </is>
      </c>
      <c r="C7" s="18" t="inlineStr">
        <is>
          <t>seoroundup.com</t>
        </is>
      </c>
      <c r="D7" s="18" t="n">
        <v>61</v>
      </c>
      <c r="E7" s="18" t="inlineStr">
        <is>
          <t>team@seoroundup.com</t>
        </is>
      </c>
      <c r="F7" s="18" t="inlineStr">
        <is>
          <t>Digital PR</t>
        </is>
      </c>
      <c r="G7" s="18" t="inlineStr">
        <is>
          <t>Contacted</t>
        </is>
      </c>
      <c r="H7" s="18" t="inlineStr">
        <is>
          <t>2026-08-20</t>
        </is>
      </c>
      <c r="I7" s="30" t="n">
        <v>0</v>
      </c>
      <c r="J7" s="18" t="inlineStr">
        <is>
          <t>Partner 3</t>
        </is>
      </c>
      <c r="K7" s="18" t="inlineStr">
        <is>
          <t>Sent data study pitch</t>
        </is>
      </c>
      <c r="M7" s="21" t="inlineStr">
        <is>
          <t>Contacted</t>
        </is>
      </c>
      <c r="N7" s="22">
        <f>COUNTIF($G$5:$G$104,"Contacted")</f>
        <v/>
      </c>
    </row>
    <row r="8">
      <c r="A8" s="18" t="n"/>
      <c r="B8" s="18" t="n"/>
      <c r="C8" s="18" t="n"/>
      <c r="D8" s="18" t="n"/>
      <c r="E8" s="18" t="n"/>
      <c r="F8" s="18" t="n"/>
      <c r="G8" s="18" t="n"/>
      <c r="H8" s="18" t="n"/>
      <c r="I8" s="30" t="n"/>
      <c r="J8" s="18" t="n"/>
      <c r="K8" s="18" t="n"/>
      <c r="M8" s="21" t="inlineStr">
        <is>
          <t>Replied</t>
        </is>
      </c>
      <c r="N8" s="22">
        <f>COUNTIF($G$5:$G$104,"Replied")</f>
        <v/>
      </c>
    </row>
    <row r="9">
      <c r="A9" s="18" t="n"/>
      <c r="B9" s="18" t="n"/>
      <c r="C9" s="18" t="n"/>
      <c r="D9" s="18" t="n"/>
      <c r="E9" s="18" t="n"/>
      <c r="F9" s="18" t="n"/>
      <c r="G9" s="18" t="n"/>
      <c r="H9" s="18" t="n"/>
      <c r="I9" s="30" t="n"/>
      <c r="J9" s="18" t="n"/>
      <c r="K9" s="18" t="n"/>
      <c r="M9" s="21" t="inlineStr">
        <is>
          <t>Negotiating</t>
        </is>
      </c>
      <c r="N9" s="22">
        <f>COUNTIF($G$5:$G$104,"Negotiating")</f>
        <v/>
      </c>
    </row>
    <row r="10">
      <c r="A10" s="18" t="n"/>
      <c r="B10" s="18" t="n"/>
      <c r="C10" s="18" t="n"/>
      <c r="D10" s="18" t="n"/>
      <c r="E10" s="18" t="n"/>
      <c r="F10" s="18" t="n"/>
      <c r="G10" s="18" t="n"/>
      <c r="H10" s="18" t="n"/>
      <c r="I10" s="30" t="n"/>
      <c r="J10" s="18" t="n"/>
      <c r="K10" s="18" t="n"/>
      <c r="M10" s="21" t="inlineStr">
        <is>
          <t>Won</t>
        </is>
      </c>
      <c r="N10" s="22">
        <f>COUNTIF($G$5:$G$104,"Won")</f>
        <v/>
      </c>
    </row>
    <row r="11">
      <c r="A11" s="18" t="n"/>
      <c r="B11" s="18" t="n"/>
      <c r="C11" s="18" t="n"/>
      <c r="D11" s="18" t="n"/>
      <c r="E11" s="18" t="n"/>
      <c r="F11" s="18" t="n"/>
      <c r="G11" s="18" t="n"/>
      <c r="H11" s="18" t="n"/>
      <c r="I11" s="30" t="n"/>
      <c r="J11" s="18" t="n"/>
      <c r="K11" s="18" t="n"/>
      <c r="M11" s="21" t="inlineStr">
        <is>
          <t>Lost</t>
        </is>
      </c>
      <c r="N11" s="22">
        <f>COUNTIF($G$5:$G$104,"Lost")</f>
        <v/>
      </c>
    </row>
    <row r="12">
      <c r="A12" s="18" t="n"/>
      <c r="B12" s="18" t="n"/>
      <c r="C12" s="18" t="n"/>
      <c r="D12" s="18" t="n"/>
      <c r="E12" s="18" t="n"/>
      <c r="F12" s="18" t="n"/>
      <c r="G12" s="18" t="n"/>
      <c r="H12" s="18" t="n"/>
      <c r="I12" s="30" t="n"/>
      <c r="J12" s="18" t="n"/>
      <c r="K12" s="18" t="n"/>
    </row>
    <row r="13">
      <c r="A13" s="18" t="n"/>
      <c r="B13" s="18" t="n"/>
      <c r="C13" s="18" t="n"/>
      <c r="D13" s="18" t="n"/>
      <c r="E13" s="18" t="n"/>
      <c r="F13" s="18" t="n"/>
      <c r="G13" s="18" t="n"/>
      <c r="H13" s="18" t="n"/>
      <c r="I13" s="30" t="n"/>
      <c r="J13" s="18" t="n"/>
      <c r="K13" s="18" t="n"/>
      <c r="M13" s="27" t="inlineStr">
        <is>
          <t>Win rate</t>
        </is>
      </c>
      <c r="N13" s="31">
        <f>IFERROR(N10/(N10+N11),"")</f>
        <v/>
      </c>
    </row>
    <row r="14">
      <c r="A14" s="18" t="n"/>
      <c r="B14" s="18" t="n"/>
      <c r="C14" s="18" t="n"/>
      <c r="D14" s="18" t="n"/>
      <c r="E14" s="18" t="n"/>
      <c r="F14" s="18" t="n"/>
      <c r="G14" s="18" t="n"/>
      <c r="H14" s="18" t="n"/>
      <c r="I14" s="30" t="n"/>
      <c r="J14" s="18" t="n"/>
      <c r="K14" s="18" t="n"/>
      <c r="M14" s="13" t="inlineStr">
        <is>
          <t>Win rate = Won / (Won + Lost)</t>
        </is>
      </c>
    </row>
    <row r="15">
      <c r="A15" s="18" t="n"/>
      <c r="B15" s="18" t="n"/>
      <c r="C15" s="18" t="n"/>
      <c r="D15" s="18" t="n"/>
      <c r="E15" s="18" t="n"/>
      <c r="F15" s="18" t="n"/>
      <c r="G15" s="18" t="n"/>
      <c r="H15" s="18" t="n"/>
      <c r="I15" s="30" t="n"/>
      <c r="J15" s="18" t="n"/>
      <c r="K15" s="18" t="n"/>
    </row>
    <row r="16">
      <c r="A16" s="18" t="n"/>
      <c r="B16" s="18" t="n"/>
      <c r="C16" s="18" t="n"/>
      <c r="D16" s="18" t="n"/>
      <c r="E16" s="18" t="n"/>
      <c r="F16" s="18" t="n"/>
      <c r="G16" s="18" t="n"/>
      <c r="H16" s="18" t="n"/>
      <c r="I16" s="30" t="n"/>
      <c r="J16" s="18" t="n"/>
      <c r="K16" s="18" t="n"/>
    </row>
    <row r="17">
      <c r="A17" s="18" t="n"/>
      <c r="B17" s="18" t="n"/>
      <c r="C17" s="18" t="n"/>
      <c r="D17" s="18" t="n"/>
      <c r="E17" s="18" t="n"/>
      <c r="F17" s="18" t="n"/>
      <c r="G17" s="18" t="n"/>
      <c r="H17" s="18" t="n"/>
      <c r="I17" s="30" t="n"/>
      <c r="J17" s="18" t="n"/>
      <c r="K17" s="18" t="n"/>
    </row>
    <row r="18">
      <c r="A18" s="18" t="n"/>
      <c r="B18" s="18" t="n"/>
      <c r="C18" s="18" t="n"/>
      <c r="D18" s="18" t="n"/>
      <c r="E18" s="18" t="n"/>
      <c r="F18" s="18" t="n"/>
      <c r="G18" s="18" t="n"/>
      <c r="H18" s="18" t="n"/>
      <c r="I18" s="30" t="n"/>
      <c r="J18" s="18" t="n"/>
      <c r="K18" s="18" t="n"/>
    </row>
    <row r="19">
      <c r="A19" s="18" t="n"/>
      <c r="B19" s="18" t="n"/>
      <c r="C19" s="18" t="n"/>
      <c r="D19" s="18" t="n"/>
      <c r="E19" s="18" t="n"/>
      <c r="F19" s="18" t="n"/>
      <c r="G19" s="18" t="n"/>
      <c r="H19" s="18" t="n"/>
      <c r="I19" s="30" t="n"/>
      <c r="J19" s="18" t="n"/>
      <c r="K19" s="18" t="n"/>
    </row>
    <row r="20">
      <c r="A20" s="18" t="n"/>
      <c r="B20" s="18" t="n"/>
      <c r="C20" s="18" t="n"/>
      <c r="D20" s="18" t="n"/>
      <c r="E20" s="18" t="n"/>
      <c r="F20" s="18" t="n"/>
      <c r="G20" s="18" t="n"/>
      <c r="H20" s="18" t="n"/>
      <c r="I20" s="30" t="n"/>
      <c r="J20" s="18" t="n"/>
      <c r="K20" s="18" t="n"/>
    </row>
    <row r="21">
      <c r="A21" s="18" t="n"/>
      <c r="B21" s="18" t="n"/>
      <c r="C21" s="18" t="n"/>
      <c r="D21" s="18" t="n"/>
      <c r="E21" s="18" t="n"/>
      <c r="F21" s="18" t="n"/>
      <c r="G21" s="18" t="n"/>
      <c r="H21" s="18" t="n"/>
      <c r="I21" s="30" t="n"/>
      <c r="J21" s="18" t="n"/>
      <c r="K21" s="18" t="n"/>
    </row>
    <row r="22">
      <c r="A22" s="18" t="n"/>
      <c r="B22" s="18" t="n"/>
      <c r="C22" s="18" t="n"/>
      <c r="D22" s="18" t="n"/>
      <c r="E22" s="18" t="n"/>
      <c r="F22" s="18" t="n"/>
      <c r="G22" s="18" t="n"/>
      <c r="H22" s="18" t="n"/>
      <c r="I22" s="30" t="n"/>
      <c r="J22" s="18" t="n"/>
      <c r="K22" s="18" t="n"/>
    </row>
    <row r="23">
      <c r="A23" s="18" t="n"/>
      <c r="B23" s="18" t="n"/>
      <c r="C23" s="18" t="n"/>
      <c r="D23" s="18" t="n"/>
      <c r="E23" s="18" t="n"/>
      <c r="F23" s="18" t="n"/>
      <c r="G23" s="18" t="n"/>
      <c r="H23" s="18" t="n"/>
      <c r="I23" s="30" t="n"/>
      <c r="J23" s="18" t="n"/>
      <c r="K23" s="18" t="n"/>
    </row>
    <row r="24">
      <c r="A24" s="18" t="n"/>
      <c r="B24" s="18" t="n"/>
      <c r="C24" s="18" t="n"/>
      <c r="D24" s="18" t="n"/>
      <c r="E24" s="18" t="n"/>
      <c r="F24" s="18" t="n"/>
      <c r="G24" s="18" t="n"/>
      <c r="H24" s="18" t="n"/>
      <c r="I24" s="30" t="n"/>
      <c r="J24" s="18" t="n"/>
      <c r="K24" s="18" t="n"/>
    </row>
    <row r="25">
      <c r="A25" s="18" t="n"/>
      <c r="B25" s="18" t="n"/>
      <c r="C25" s="18" t="n"/>
      <c r="D25" s="18" t="n"/>
      <c r="E25" s="18" t="n"/>
      <c r="F25" s="18" t="n"/>
      <c r="G25" s="18" t="n"/>
      <c r="H25" s="18" t="n"/>
      <c r="I25" s="30" t="n"/>
      <c r="J25" s="18" t="n"/>
      <c r="K25" s="18" t="n"/>
    </row>
    <row r="26">
      <c r="A26" s="18" t="n"/>
      <c r="B26" s="18" t="n"/>
      <c r="C26" s="18" t="n"/>
      <c r="D26" s="18" t="n"/>
      <c r="E26" s="18" t="n"/>
      <c r="F26" s="18" t="n"/>
      <c r="G26" s="18" t="n"/>
      <c r="H26" s="18" t="n"/>
      <c r="I26" s="30" t="n"/>
      <c r="J26" s="18" t="n"/>
      <c r="K26" s="18" t="n"/>
    </row>
    <row r="27">
      <c r="A27" s="18" t="n"/>
      <c r="B27" s="18" t="n"/>
      <c r="C27" s="18" t="n"/>
      <c r="D27" s="18" t="n"/>
      <c r="E27" s="18" t="n"/>
      <c r="F27" s="18" t="n"/>
      <c r="G27" s="18" t="n"/>
      <c r="H27" s="18" t="n"/>
      <c r="I27" s="30" t="n"/>
      <c r="J27" s="18" t="n"/>
      <c r="K27" s="18" t="n"/>
    </row>
    <row r="28">
      <c r="A28" s="18" t="n"/>
      <c r="B28" s="18" t="n"/>
      <c r="C28" s="18" t="n"/>
      <c r="D28" s="18" t="n"/>
      <c r="E28" s="18" t="n"/>
      <c r="F28" s="18" t="n"/>
      <c r="G28" s="18" t="n"/>
      <c r="H28" s="18" t="n"/>
      <c r="I28" s="30" t="n"/>
      <c r="J28" s="18" t="n"/>
      <c r="K28" s="18" t="n"/>
    </row>
    <row r="29">
      <c r="A29" s="18" t="n"/>
      <c r="B29" s="18" t="n"/>
      <c r="C29" s="18" t="n"/>
      <c r="D29" s="18" t="n"/>
      <c r="E29" s="18" t="n"/>
      <c r="F29" s="18" t="n"/>
      <c r="G29" s="18" t="n"/>
      <c r="H29" s="18" t="n"/>
      <c r="I29" s="30" t="n"/>
      <c r="J29" s="18" t="n"/>
      <c r="K29" s="18" t="n"/>
    </row>
    <row r="30">
      <c r="A30" s="18" t="n"/>
      <c r="B30" s="18" t="n"/>
      <c r="C30" s="18" t="n"/>
      <c r="D30" s="18" t="n"/>
      <c r="E30" s="18" t="n"/>
      <c r="F30" s="18" t="n"/>
      <c r="G30" s="18" t="n"/>
      <c r="H30" s="18" t="n"/>
      <c r="I30" s="30" t="n"/>
      <c r="J30" s="18" t="n"/>
      <c r="K30" s="18" t="n"/>
    </row>
    <row r="31">
      <c r="A31" s="18" t="n"/>
      <c r="B31" s="18" t="n"/>
      <c r="C31" s="18" t="n"/>
      <c r="D31" s="18" t="n"/>
      <c r="E31" s="18" t="n"/>
      <c r="F31" s="18" t="n"/>
      <c r="G31" s="18" t="n"/>
      <c r="H31" s="18" t="n"/>
      <c r="I31" s="30" t="n"/>
      <c r="J31" s="18" t="n"/>
      <c r="K31" s="18" t="n"/>
    </row>
    <row r="32">
      <c r="A32" s="18" t="n"/>
      <c r="B32" s="18" t="n"/>
      <c r="C32" s="18" t="n"/>
      <c r="D32" s="18" t="n"/>
      <c r="E32" s="18" t="n"/>
      <c r="F32" s="18" t="n"/>
      <c r="G32" s="18" t="n"/>
      <c r="H32" s="18" t="n"/>
      <c r="I32" s="30" t="n"/>
      <c r="J32" s="18" t="n"/>
      <c r="K32" s="18" t="n"/>
    </row>
    <row r="33">
      <c r="A33" s="18" t="n"/>
      <c r="B33" s="18" t="n"/>
      <c r="C33" s="18" t="n"/>
      <c r="D33" s="18" t="n"/>
      <c r="E33" s="18" t="n"/>
      <c r="F33" s="18" t="n"/>
      <c r="G33" s="18" t="n"/>
      <c r="H33" s="18" t="n"/>
      <c r="I33" s="30" t="n"/>
      <c r="J33" s="18" t="n"/>
      <c r="K33" s="18" t="n"/>
    </row>
    <row r="34">
      <c r="A34" s="18" t="n"/>
      <c r="B34" s="18" t="n"/>
      <c r="C34" s="18" t="n"/>
      <c r="D34" s="18" t="n"/>
      <c r="E34" s="18" t="n"/>
      <c r="F34" s="18" t="n"/>
      <c r="G34" s="18" t="n"/>
      <c r="H34" s="18" t="n"/>
      <c r="I34" s="30" t="n"/>
      <c r="J34" s="18" t="n"/>
      <c r="K34" s="18" t="n"/>
    </row>
    <row r="35">
      <c r="A35" s="18" t="n"/>
      <c r="B35" s="18" t="n"/>
      <c r="C35" s="18" t="n"/>
      <c r="D35" s="18" t="n"/>
      <c r="E35" s="18" t="n"/>
      <c r="F35" s="18" t="n"/>
      <c r="G35" s="18" t="n"/>
      <c r="H35" s="18" t="n"/>
      <c r="I35" s="30" t="n"/>
      <c r="J35" s="18" t="n"/>
      <c r="K35" s="18" t="n"/>
    </row>
    <row r="36">
      <c r="A36" s="18" t="n"/>
      <c r="B36" s="18" t="n"/>
      <c r="C36" s="18" t="n"/>
      <c r="D36" s="18" t="n"/>
      <c r="E36" s="18" t="n"/>
      <c r="F36" s="18" t="n"/>
      <c r="G36" s="18" t="n"/>
      <c r="H36" s="18" t="n"/>
      <c r="I36" s="30" t="n"/>
      <c r="J36" s="18" t="n"/>
      <c r="K36" s="18" t="n"/>
    </row>
    <row r="37">
      <c r="A37" s="18" t="n"/>
      <c r="B37" s="18" t="n"/>
      <c r="C37" s="18" t="n"/>
      <c r="D37" s="18" t="n"/>
      <c r="E37" s="18" t="n"/>
      <c r="F37" s="18" t="n"/>
      <c r="G37" s="18" t="n"/>
      <c r="H37" s="18" t="n"/>
      <c r="I37" s="30" t="n"/>
      <c r="J37" s="18" t="n"/>
      <c r="K37" s="18" t="n"/>
    </row>
    <row r="38">
      <c r="A38" s="18" t="n"/>
      <c r="B38" s="18" t="n"/>
      <c r="C38" s="18" t="n"/>
      <c r="D38" s="18" t="n"/>
      <c r="E38" s="18" t="n"/>
      <c r="F38" s="18" t="n"/>
      <c r="G38" s="18" t="n"/>
      <c r="H38" s="18" t="n"/>
      <c r="I38" s="30" t="n"/>
      <c r="J38" s="18" t="n"/>
      <c r="K38" s="18" t="n"/>
    </row>
    <row r="39">
      <c r="A39" s="18" t="n"/>
      <c r="B39" s="18" t="n"/>
      <c r="C39" s="18" t="n"/>
      <c r="D39" s="18" t="n"/>
      <c r="E39" s="18" t="n"/>
      <c r="F39" s="18" t="n"/>
      <c r="G39" s="18" t="n"/>
      <c r="H39" s="18" t="n"/>
      <c r="I39" s="30" t="n"/>
      <c r="J39" s="18" t="n"/>
      <c r="K39" s="18" t="n"/>
    </row>
    <row r="40">
      <c r="A40" s="18" t="n"/>
      <c r="B40" s="18" t="n"/>
      <c r="C40" s="18" t="n"/>
      <c r="D40" s="18" t="n"/>
      <c r="E40" s="18" t="n"/>
      <c r="F40" s="18" t="n"/>
      <c r="G40" s="18" t="n"/>
      <c r="H40" s="18" t="n"/>
      <c r="I40" s="30" t="n"/>
      <c r="J40" s="18" t="n"/>
      <c r="K40" s="18" t="n"/>
    </row>
    <row r="41">
      <c r="A41" s="18" t="n"/>
      <c r="B41" s="18" t="n"/>
      <c r="C41" s="18" t="n"/>
      <c r="D41" s="18" t="n"/>
      <c r="E41" s="18" t="n"/>
      <c r="F41" s="18" t="n"/>
      <c r="G41" s="18" t="n"/>
      <c r="H41" s="18" t="n"/>
      <c r="I41" s="30" t="n"/>
      <c r="J41" s="18" t="n"/>
      <c r="K41" s="18" t="n"/>
    </row>
    <row r="42">
      <c r="A42" s="18" t="n"/>
      <c r="B42" s="18" t="n"/>
      <c r="C42" s="18" t="n"/>
      <c r="D42" s="18" t="n"/>
      <c r="E42" s="18" t="n"/>
      <c r="F42" s="18" t="n"/>
      <c r="G42" s="18" t="n"/>
      <c r="H42" s="18" t="n"/>
      <c r="I42" s="30" t="n"/>
      <c r="J42" s="18" t="n"/>
      <c r="K42" s="18" t="n"/>
    </row>
    <row r="43">
      <c r="A43" s="18" t="n"/>
      <c r="B43" s="18" t="n"/>
      <c r="C43" s="18" t="n"/>
      <c r="D43" s="18" t="n"/>
      <c r="E43" s="18" t="n"/>
      <c r="F43" s="18" t="n"/>
      <c r="G43" s="18" t="n"/>
      <c r="H43" s="18" t="n"/>
      <c r="I43" s="30" t="n"/>
      <c r="J43" s="18" t="n"/>
      <c r="K43" s="18" t="n"/>
    </row>
    <row r="44">
      <c r="A44" s="18" t="n"/>
      <c r="B44" s="18" t="n"/>
      <c r="C44" s="18" t="n"/>
      <c r="D44" s="18" t="n"/>
      <c r="E44" s="18" t="n"/>
      <c r="F44" s="18" t="n"/>
      <c r="G44" s="18" t="n"/>
      <c r="H44" s="18" t="n"/>
      <c r="I44" s="30" t="n"/>
      <c r="J44" s="18" t="n"/>
      <c r="K44" s="18" t="n"/>
    </row>
    <row r="45">
      <c r="A45" s="18" t="n"/>
      <c r="B45" s="18" t="n"/>
      <c r="C45" s="18" t="n"/>
      <c r="D45" s="18" t="n"/>
      <c r="E45" s="18" t="n"/>
      <c r="F45" s="18" t="n"/>
      <c r="G45" s="18" t="n"/>
      <c r="H45" s="18" t="n"/>
      <c r="I45" s="30" t="n"/>
      <c r="J45" s="18" t="n"/>
      <c r="K45" s="18" t="n"/>
    </row>
    <row r="46">
      <c r="A46" s="18" t="n"/>
      <c r="B46" s="18" t="n"/>
      <c r="C46" s="18" t="n"/>
      <c r="D46" s="18" t="n"/>
      <c r="E46" s="18" t="n"/>
      <c r="F46" s="18" t="n"/>
      <c r="G46" s="18" t="n"/>
      <c r="H46" s="18" t="n"/>
      <c r="I46" s="30" t="n"/>
      <c r="J46" s="18" t="n"/>
      <c r="K46" s="18" t="n"/>
    </row>
    <row r="47">
      <c r="A47" s="18" t="n"/>
      <c r="B47" s="18" t="n"/>
      <c r="C47" s="18" t="n"/>
      <c r="D47" s="18" t="n"/>
      <c r="E47" s="18" t="n"/>
      <c r="F47" s="18" t="n"/>
      <c r="G47" s="18" t="n"/>
      <c r="H47" s="18" t="n"/>
      <c r="I47" s="30" t="n"/>
      <c r="J47" s="18" t="n"/>
      <c r="K47" s="18" t="n"/>
    </row>
    <row r="48">
      <c r="A48" s="18" t="n"/>
      <c r="B48" s="18" t="n"/>
      <c r="C48" s="18" t="n"/>
      <c r="D48" s="18" t="n"/>
      <c r="E48" s="18" t="n"/>
      <c r="F48" s="18" t="n"/>
      <c r="G48" s="18" t="n"/>
      <c r="H48" s="18" t="n"/>
      <c r="I48" s="30" t="n"/>
      <c r="J48" s="18" t="n"/>
      <c r="K48" s="18" t="n"/>
    </row>
    <row r="49">
      <c r="A49" s="18" t="n"/>
      <c r="B49" s="18" t="n"/>
      <c r="C49" s="18" t="n"/>
      <c r="D49" s="18" t="n"/>
      <c r="E49" s="18" t="n"/>
      <c r="F49" s="18" t="n"/>
      <c r="G49" s="18" t="n"/>
      <c r="H49" s="18" t="n"/>
      <c r="I49" s="30" t="n"/>
      <c r="J49" s="18" t="n"/>
      <c r="K49" s="18" t="n"/>
    </row>
    <row r="50">
      <c r="A50" s="18" t="n"/>
      <c r="B50" s="18" t="n"/>
      <c r="C50" s="18" t="n"/>
      <c r="D50" s="18" t="n"/>
      <c r="E50" s="18" t="n"/>
      <c r="F50" s="18" t="n"/>
      <c r="G50" s="18" t="n"/>
      <c r="H50" s="18" t="n"/>
      <c r="I50" s="30" t="n"/>
      <c r="J50" s="18" t="n"/>
      <c r="K50" s="18" t="n"/>
    </row>
    <row r="51">
      <c r="A51" s="18" t="n"/>
      <c r="B51" s="18" t="n"/>
      <c r="C51" s="18" t="n"/>
      <c r="D51" s="18" t="n"/>
      <c r="E51" s="18" t="n"/>
      <c r="F51" s="18" t="n"/>
      <c r="G51" s="18" t="n"/>
      <c r="H51" s="18" t="n"/>
      <c r="I51" s="30" t="n"/>
      <c r="J51" s="18" t="n"/>
      <c r="K51" s="18" t="n"/>
    </row>
    <row r="52">
      <c r="A52" s="18" t="n"/>
      <c r="B52" s="18" t="n"/>
      <c r="C52" s="18" t="n"/>
      <c r="D52" s="18" t="n"/>
      <c r="E52" s="18" t="n"/>
      <c r="F52" s="18" t="n"/>
      <c r="G52" s="18" t="n"/>
      <c r="H52" s="18" t="n"/>
      <c r="I52" s="30" t="n"/>
      <c r="J52" s="18" t="n"/>
      <c r="K52" s="18" t="n"/>
    </row>
    <row r="53">
      <c r="A53" s="18" t="n"/>
      <c r="B53" s="18" t="n"/>
      <c r="C53" s="18" t="n"/>
      <c r="D53" s="18" t="n"/>
      <c r="E53" s="18" t="n"/>
      <c r="F53" s="18" t="n"/>
      <c r="G53" s="18" t="n"/>
      <c r="H53" s="18" t="n"/>
      <c r="I53" s="30" t="n"/>
      <c r="J53" s="18" t="n"/>
      <c r="K53" s="18" t="n"/>
    </row>
    <row r="54">
      <c r="A54" s="18" t="n"/>
      <c r="B54" s="18" t="n"/>
      <c r="C54" s="18" t="n"/>
      <c r="D54" s="18" t="n"/>
      <c r="E54" s="18" t="n"/>
      <c r="F54" s="18" t="n"/>
      <c r="G54" s="18" t="n"/>
      <c r="H54" s="18" t="n"/>
      <c r="I54" s="30" t="n"/>
      <c r="J54" s="18" t="n"/>
      <c r="K54" s="18" t="n"/>
    </row>
    <row r="55">
      <c r="A55" s="18" t="n"/>
      <c r="B55" s="18" t="n"/>
      <c r="C55" s="18" t="n"/>
      <c r="D55" s="18" t="n"/>
      <c r="E55" s="18" t="n"/>
      <c r="F55" s="18" t="n"/>
      <c r="G55" s="18" t="n"/>
      <c r="H55" s="18" t="n"/>
      <c r="I55" s="30" t="n"/>
      <c r="J55" s="18" t="n"/>
      <c r="K55" s="18" t="n"/>
    </row>
    <row r="56">
      <c r="A56" s="18" t="n"/>
      <c r="B56" s="18" t="n"/>
      <c r="C56" s="18" t="n"/>
      <c r="D56" s="18" t="n"/>
      <c r="E56" s="18" t="n"/>
      <c r="F56" s="18" t="n"/>
      <c r="G56" s="18" t="n"/>
      <c r="H56" s="18" t="n"/>
      <c r="I56" s="30" t="n"/>
      <c r="J56" s="18" t="n"/>
      <c r="K56" s="18" t="n"/>
    </row>
    <row r="57">
      <c r="A57" s="18" t="n"/>
      <c r="B57" s="18" t="n"/>
      <c r="C57" s="18" t="n"/>
      <c r="D57" s="18" t="n"/>
      <c r="E57" s="18" t="n"/>
      <c r="F57" s="18" t="n"/>
      <c r="G57" s="18" t="n"/>
      <c r="H57" s="18" t="n"/>
      <c r="I57" s="30" t="n"/>
      <c r="J57" s="18" t="n"/>
      <c r="K57" s="18" t="n"/>
    </row>
    <row r="58">
      <c r="A58" s="18" t="n"/>
      <c r="B58" s="18" t="n"/>
      <c r="C58" s="18" t="n"/>
      <c r="D58" s="18" t="n"/>
      <c r="E58" s="18" t="n"/>
      <c r="F58" s="18" t="n"/>
      <c r="G58" s="18" t="n"/>
      <c r="H58" s="18" t="n"/>
      <c r="I58" s="30" t="n"/>
      <c r="J58" s="18" t="n"/>
      <c r="K58" s="18" t="n"/>
    </row>
    <row r="59">
      <c r="A59" s="18" t="n"/>
      <c r="B59" s="18" t="n"/>
      <c r="C59" s="18" t="n"/>
      <c r="D59" s="18" t="n"/>
      <c r="E59" s="18" t="n"/>
      <c r="F59" s="18" t="n"/>
      <c r="G59" s="18" t="n"/>
      <c r="H59" s="18" t="n"/>
      <c r="I59" s="30" t="n"/>
      <c r="J59" s="18" t="n"/>
      <c r="K59" s="18" t="n"/>
    </row>
    <row r="60">
      <c r="A60" s="18" t="n"/>
      <c r="B60" s="18" t="n"/>
      <c r="C60" s="18" t="n"/>
      <c r="D60" s="18" t="n"/>
      <c r="E60" s="18" t="n"/>
      <c r="F60" s="18" t="n"/>
      <c r="G60" s="18" t="n"/>
      <c r="H60" s="18" t="n"/>
      <c r="I60" s="30" t="n"/>
      <c r="J60" s="18" t="n"/>
      <c r="K60" s="18" t="n"/>
    </row>
    <row r="61">
      <c r="A61" s="18" t="n"/>
      <c r="B61" s="18" t="n"/>
      <c r="C61" s="18" t="n"/>
      <c r="D61" s="18" t="n"/>
      <c r="E61" s="18" t="n"/>
      <c r="F61" s="18" t="n"/>
      <c r="G61" s="18" t="n"/>
      <c r="H61" s="18" t="n"/>
      <c r="I61" s="30" t="n"/>
      <c r="J61" s="18" t="n"/>
      <c r="K61" s="18" t="n"/>
    </row>
    <row r="62">
      <c r="A62" s="18" t="n"/>
      <c r="B62" s="18" t="n"/>
      <c r="C62" s="18" t="n"/>
      <c r="D62" s="18" t="n"/>
      <c r="E62" s="18" t="n"/>
      <c r="F62" s="18" t="n"/>
      <c r="G62" s="18" t="n"/>
      <c r="H62" s="18" t="n"/>
      <c r="I62" s="30" t="n"/>
      <c r="J62" s="18" t="n"/>
      <c r="K62" s="18" t="n"/>
    </row>
    <row r="63">
      <c r="A63" s="18" t="n"/>
      <c r="B63" s="18" t="n"/>
      <c r="C63" s="18" t="n"/>
      <c r="D63" s="18" t="n"/>
      <c r="E63" s="18" t="n"/>
      <c r="F63" s="18" t="n"/>
      <c r="G63" s="18" t="n"/>
      <c r="H63" s="18" t="n"/>
      <c r="I63" s="30" t="n"/>
      <c r="J63" s="18" t="n"/>
      <c r="K63" s="18" t="n"/>
    </row>
    <row r="64">
      <c r="A64" s="18" t="n"/>
      <c r="B64" s="18" t="n"/>
      <c r="C64" s="18" t="n"/>
      <c r="D64" s="18" t="n"/>
      <c r="E64" s="18" t="n"/>
      <c r="F64" s="18" t="n"/>
      <c r="G64" s="18" t="n"/>
      <c r="H64" s="18" t="n"/>
      <c r="I64" s="30" t="n"/>
      <c r="J64" s="18" t="n"/>
      <c r="K64" s="18" t="n"/>
    </row>
    <row r="65">
      <c r="A65" s="18" t="n"/>
      <c r="B65" s="18" t="n"/>
      <c r="C65" s="18" t="n"/>
      <c r="D65" s="18" t="n"/>
      <c r="E65" s="18" t="n"/>
      <c r="F65" s="18" t="n"/>
      <c r="G65" s="18" t="n"/>
      <c r="H65" s="18" t="n"/>
      <c r="I65" s="30" t="n"/>
      <c r="J65" s="18" t="n"/>
      <c r="K65" s="18" t="n"/>
    </row>
    <row r="66">
      <c r="A66" s="18" t="n"/>
      <c r="B66" s="18" t="n"/>
      <c r="C66" s="18" t="n"/>
      <c r="D66" s="18" t="n"/>
      <c r="E66" s="18" t="n"/>
      <c r="F66" s="18" t="n"/>
      <c r="G66" s="18" t="n"/>
      <c r="H66" s="18" t="n"/>
      <c r="I66" s="30" t="n"/>
      <c r="J66" s="18" t="n"/>
      <c r="K66" s="18" t="n"/>
    </row>
    <row r="67">
      <c r="A67" s="18" t="n"/>
      <c r="B67" s="18" t="n"/>
      <c r="C67" s="18" t="n"/>
      <c r="D67" s="18" t="n"/>
      <c r="E67" s="18" t="n"/>
      <c r="F67" s="18" t="n"/>
      <c r="G67" s="18" t="n"/>
      <c r="H67" s="18" t="n"/>
      <c r="I67" s="30" t="n"/>
      <c r="J67" s="18" t="n"/>
      <c r="K67" s="18" t="n"/>
    </row>
    <row r="68">
      <c r="A68" s="18" t="n"/>
      <c r="B68" s="18" t="n"/>
      <c r="C68" s="18" t="n"/>
      <c r="D68" s="18" t="n"/>
      <c r="E68" s="18" t="n"/>
      <c r="F68" s="18" t="n"/>
      <c r="G68" s="18" t="n"/>
      <c r="H68" s="18" t="n"/>
      <c r="I68" s="30" t="n"/>
      <c r="J68" s="18" t="n"/>
      <c r="K68" s="18" t="n"/>
    </row>
    <row r="69">
      <c r="A69" s="18" t="n"/>
      <c r="B69" s="18" t="n"/>
      <c r="C69" s="18" t="n"/>
      <c r="D69" s="18" t="n"/>
      <c r="E69" s="18" t="n"/>
      <c r="F69" s="18" t="n"/>
      <c r="G69" s="18" t="n"/>
      <c r="H69" s="18" t="n"/>
      <c r="I69" s="30" t="n"/>
      <c r="J69" s="18" t="n"/>
      <c r="K69" s="18" t="n"/>
    </row>
    <row r="70">
      <c r="A70" s="18" t="n"/>
      <c r="B70" s="18" t="n"/>
      <c r="C70" s="18" t="n"/>
      <c r="D70" s="18" t="n"/>
      <c r="E70" s="18" t="n"/>
      <c r="F70" s="18" t="n"/>
      <c r="G70" s="18" t="n"/>
      <c r="H70" s="18" t="n"/>
      <c r="I70" s="30" t="n"/>
      <c r="J70" s="18" t="n"/>
      <c r="K70" s="18" t="n"/>
    </row>
    <row r="71">
      <c r="A71" s="18" t="n"/>
      <c r="B71" s="18" t="n"/>
      <c r="C71" s="18" t="n"/>
      <c r="D71" s="18" t="n"/>
      <c r="E71" s="18" t="n"/>
      <c r="F71" s="18" t="n"/>
      <c r="G71" s="18" t="n"/>
      <c r="H71" s="18" t="n"/>
      <c r="I71" s="30" t="n"/>
      <c r="J71" s="18" t="n"/>
      <c r="K71" s="18" t="n"/>
    </row>
    <row r="72">
      <c r="A72" s="18" t="n"/>
      <c r="B72" s="18" t="n"/>
      <c r="C72" s="18" t="n"/>
      <c r="D72" s="18" t="n"/>
      <c r="E72" s="18" t="n"/>
      <c r="F72" s="18" t="n"/>
      <c r="G72" s="18" t="n"/>
      <c r="H72" s="18" t="n"/>
      <c r="I72" s="30" t="n"/>
      <c r="J72" s="18" t="n"/>
      <c r="K72" s="18" t="n"/>
    </row>
    <row r="73">
      <c r="A73" s="18" t="n"/>
      <c r="B73" s="18" t="n"/>
      <c r="C73" s="18" t="n"/>
      <c r="D73" s="18" t="n"/>
      <c r="E73" s="18" t="n"/>
      <c r="F73" s="18" t="n"/>
      <c r="G73" s="18" t="n"/>
      <c r="H73" s="18" t="n"/>
      <c r="I73" s="30" t="n"/>
      <c r="J73" s="18" t="n"/>
      <c r="K73" s="18" t="n"/>
    </row>
    <row r="74">
      <c r="A74" s="18" t="n"/>
      <c r="B74" s="18" t="n"/>
      <c r="C74" s="18" t="n"/>
      <c r="D74" s="18" t="n"/>
      <c r="E74" s="18" t="n"/>
      <c r="F74" s="18" t="n"/>
      <c r="G74" s="18" t="n"/>
      <c r="H74" s="18" t="n"/>
      <c r="I74" s="30" t="n"/>
      <c r="J74" s="18" t="n"/>
      <c r="K74" s="18" t="n"/>
    </row>
    <row r="75">
      <c r="A75" s="18" t="n"/>
      <c r="B75" s="18" t="n"/>
      <c r="C75" s="18" t="n"/>
      <c r="D75" s="18" t="n"/>
      <c r="E75" s="18" t="n"/>
      <c r="F75" s="18" t="n"/>
      <c r="G75" s="18" t="n"/>
      <c r="H75" s="18" t="n"/>
      <c r="I75" s="30" t="n"/>
      <c r="J75" s="18" t="n"/>
      <c r="K75" s="18" t="n"/>
    </row>
    <row r="76">
      <c r="A76" s="18" t="n"/>
      <c r="B76" s="18" t="n"/>
      <c r="C76" s="18" t="n"/>
      <c r="D76" s="18" t="n"/>
      <c r="E76" s="18" t="n"/>
      <c r="F76" s="18" t="n"/>
      <c r="G76" s="18" t="n"/>
      <c r="H76" s="18" t="n"/>
      <c r="I76" s="30" t="n"/>
      <c r="J76" s="18" t="n"/>
      <c r="K76" s="18" t="n"/>
    </row>
    <row r="77">
      <c r="A77" s="18" t="n"/>
      <c r="B77" s="18" t="n"/>
      <c r="C77" s="18" t="n"/>
      <c r="D77" s="18" t="n"/>
      <c r="E77" s="18" t="n"/>
      <c r="F77" s="18" t="n"/>
      <c r="G77" s="18" t="n"/>
      <c r="H77" s="18" t="n"/>
      <c r="I77" s="30" t="n"/>
      <c r="J77" s="18" t="n"/>
      <c r="K77" s="18" t="n"/>
    </row>
    <row r="78">
      <c r="A78" s="18" t="n"/>
      <c r="B78" s="18" t="n"/>
      <c r="C78" s="18" t="n"/>
      <c r="D78" s="18" t="n"/>
      <c r="E78" s="18" t="n"/>
      <c r="F78" s="18" t="n"/>
      <c r="G78" s="18" t="n"/>
      <c r="H78" s="18" t="n"/>
      <c r="I78" s="30" t="n"/>
      <c r="J78" s="18" t="n"/>
      <c r="K78" s="18" t="n"/>
    </row>
    <row r="79">
      <c r="A79" s="18" t="n"/>
      <c r="B79" s="18" t="n"/>
      <c r="C79" s="18" t="n"/>
      <c r="D79" s="18" t="n"/>
      <c r="E79" s="18" t="n"/>
      <c r="F79" s="18" t="n"/>
      <c r="G79" s="18" t="n"/>
      <c r="H79" s="18" t="n"/>
      <c r="I79" s="30" t="n"/>
      <c r="J79" s="18" t="n"/>
      <c r="K79" s="18" t="n"/>
    </row>
    <row r="80">
      <c r="A80" s="18" t="n"/>
      <c r="B80" s="18" t="n"/>
      <c r="C80" s="18" t="n"/>
      <c r="D80" s="18" t="n"/>
      <c r="E80" s="18" t="n"/>
      <c r="F80" s="18" t="n"/>
      <c r="G80" s="18" t="n"/>
      <c r="H80" s="18" t="n"/>
      <c r="I80" s="30" t="n"/>
      <c r="J80" s="18" t="n"/>
      <c r="K80" s="18" t="n"/>
    </row>
    <row r="81">
      <c r="A81" s="18" t="n"/>
      <c r="B81" s="18" t="n"/>
      <c r="C81" s="18" t="n"/>
      <c r="D81" s="18" t="n"/>
      <c r="E81" s="18" t="n"/>
      <c r="F81" s="18" t="n"/>
      <c r="G81" s="18" t="n"/>
      <c r="H81" s="18" t="n"/>
      <c r="I81" s="30" t="n"/>
      <c r="J81" s="18" t="n"/>
      <c r="K81" s="18" t="n"/>
    </row>
    <row r="82">
      <c r="A82" s="18" t="n"/>
      <c r="B82" s="18" t="n"/>
      <c r="C82" s="18" t="n"/>
      <c r="D82" s="18" t="n"/>
      <c r="E82" s="18" t="n"/>
      <c r="F82" s="18" t="n"/>
      <c r="G82" s="18" t="n"/>
      <c r="H82" s="18" t="n"/>
      <c r="I82" s="30" t="n"/>
      <c r="J82" s="18" t="n"/>
      <c r="K82" s="18" t="n"/>
    </row>
    <row r="83">
      <c r="A83" s="18" t="n"/>
      <c r="B83" s="18" t="n"/>
      <c r="C83" s="18" t="n"/>
      <c r="D83" s="18" t="n"/>
      <c r="E83" s="18" t="n"/>
      <c r="F83" s="18" t="n"/>
      <c r="G83" s="18" t="n"/>
      <c r="H83" s="18" t="n"/>
      <c r="I83" s="30" t="n"/>
      <c r="J83" s="18" t="n"/>
      <c r="K83" s="18" t="n"/>
    </row>
    <row r="84">
      <c r="A84" s="18" t="n"/>
      <c r="B84" s="18" t="n"/>
      <c r="C84" s="18" t="n"/>
      <c r="D84" s="18" t="n"/>
      <c r="E84" s="18" t="n"/>
      <c r="F84" s="18" t="n"/>
      <c r="G84" s="18" t="n"/>
      <c r="H84" s="18" t="n"/>
      <c r="I84" s="30" t="n"/>
      <c r="J84" s="18" t="n"/>
      <c r="K84" s="18" t="n"/>
    </row>
    <row r="85">
      <c r="A85" s="18" t="n"/>
      <c r="B85" s="18" t="n"/>
      <c r="C85" s="18" t="n"/>
      <c r="D85" s="18" t="n"/>
      <c r="E85" s="18" t="n"/>
      <c r="F85" s="18" t="n"/>
      <c r="G85" s="18" t="n"/>
      <c r="H85" s="18" t="n"/>
      <c r="I85" s="30" t="n"/>
      <c r="J85" s="18" t="n"/>
      <c r="K85" s="18" t="n"/>
    </row>
    <row r="86">
      <c r="A86" s="18" t="n"/>
      <c r="B86" s="18" t="n"/>
      <c r="C86" s="18" t="n"/>
      <c r="D86" s="18" t="n"/>
      <c r="E86" s="18" t="n"/>
      <c r="F86" s="18" t="n"/>
      <c r="G86" s="18" t="n"/>
      <c r="H86" s="18" t="n"/>
      <c r="I86" s="30" t="n"/>
      <c r="J86" s="18" t="n"/>
      <c r="K86" s="18" t="n"/>
    </row>
    <row r="87">
      <c r="A87" s="18" t="n"/>
      <c r="B87" s="18" t="n"/>
      <c r="C87" s="18" t="n"/>
      <c r="D87" s="18" t="n"/>
      <c r="E87" s="18" t="n"/>
      <c r="F87" s="18" t="n"/>
      <c r="G87" s="18" t="n"/>
      <c r="H87" s="18" t="n"/>
      <c r="I87" s="30" t="n"/>
      <c r="J87" s="18" t="n"/>
      <c r="K87" s="18" t="n"/>
    </row>
    <row r="88">
      <c r="A88" s="18" t="n"/>
      <c r="B88" s="18" t="n"/>
      <c r="C88" s="18" t="n"/>
      <c r="D88" s="18" t="n"/>
      <c r="E88" s="18" t="n"/>
      <c r="F88" s="18" t="n"/>
      <c r="G88" s="18" t="n"/>
      <c r="H88" s="18" t="n"/>
      <c r="I88" s="30" t="n"/>
      <c r="J88" s="18" t="n"/>
      <c r="K88" s="18" t="n"/>
    </row>
    <row r="89">
      <c r="A89" s="18" t="n"/>
      <c r="B89" s="18" t="n"/>
      <c r="C89" s="18" t="n"/>
      <c r="D89" s="18" t="n"/>
      <c r="E89" s="18" t="n"/>
      <c r="F89" s="18" t="n"/>
      <c r="G89" s="18" t="n"/>
      <c r="H89" s="18" t="n"/>
      <c r="I89" s="30" t="n"/>
      <c r="J89" s="18" t="n"/>
      <c r="K89" s="18" t="n"/>
    </row>
    <row r="90">
      <c r="A90" s="18" t="n"/>
      <c r="B90" s="18" t="n"/>
      <c r="C90" s="18" t="n"/>
      <c r="D90" s="18" t="n"/>
      <c r="E90" s="18" t="n"/>
      <c r="F90" s="18" t="n"/>
      <c r="G90" s="18" t="n"/>
      <c r="H90" s="18" t="n"/>
      <c r="I90" s="30" t="n"/>
      <c r="J90" s="18" t="n"/>
      <c r="K90" s="18" t="n"/>
    </row>
    <row r="91">
      <c r="A91" s="18" t="n"/>
      <c r="B91" s="18" t="n"/>
      <c r="C91" s="18" t="n"/>
      <c r="D91" s="18" t="n"/>
      <c r="E91" s="18" t="n"/>
      <c r="F91" s="18" t="n"/>
      <c r="G91" s="18" t="n"/>
      <c r="H91" s="18" t="n"/>
      <c r="I91" s="30" t="n"/>
      <c r="J91" s="18" t="n"/>
      <c r="K91" s="18" t="n"/>
    </row>
    <row r="92">
      <c r="A92" s="18" t="n"/>
      <c r="B92" s="18" t="n"/>
      <c r="C92" s="18" t="n"/>
      <c r="D92" s="18" t="n"/>
      <c r="E92" s="18" t="n"/>
      <c r="F92" s="18" t="n"/>
      <c r="G92" s="18" t="n"/>
      <c r="H92" s="18" t="n"/>
      <c r="I92" s="30" t="n"/>
      <c r="J92" s="18" t="n"/>
      <c r="K92" s="18" t="n"/>
    </row>
    <row r="93">
      <c r="A93" s="18" t="n"/>
      <c r="B93" s="18" t="n"/>
      <c r="C93" s="18" t="n"/>
      <c r="D93" s="18" t="n"/>
      <c r="E93" s="18" t="n"/>
      <c r="F93" s="18" t="n"/>
      <c r="G93" s="18" t="n"/>
      <c r="H93" s="18" t="n"/>
      <c r="I93" s="30" t="n"/>
      <c r="J93" s="18" t="n"/>
      <c r="K93" s="18" t="n"/>
    </row>
    <row r="94">
      <c r="A94" s="18" t="n"/>
      <c r="B94" s="18" t="n"/>
      <c r="C94" s="18" t="n"/>
      <c r="D94" s="18" t="n"/>
      <c r="E94" s="18" t="n"/>
      <c r="F94" s="18" t="n"/>
      <c r="G94" s="18" t="n"/>
      <c r="H94" s="18" t="n"/>
      <c r="I94" s="30" t="n"/>
      <c r="J94" s="18" t="n"/>
      <c r="K94" s="18" t="n"/>
    </row>
    <row r="95">
      <c r="A95" s="18" t="n"/>
      <c r="B95" s="18" t="n"/>
      <c r="C95" s="18" t="n"/>
      <c r="D95" s="18" t="n"/>
      <c r="E95" s="18" t="n"/>
      <c r="F95" s="18" t="n"/>
      <c r="G95" s="18" t="n"/>
      <c r="H95" s="18" t="n"/>
      <c r="I95" s="30" t="n"/>
      <c r="J95" s="18" t="n"/>
      <c r="K95" s="18" t="n"/>
    </row>
    <row r="96">
      <c r="A96" s="18" t="n"/>
      <c r="B96" s="18" t="n"/>
      <c r="C96" s="18" t="n"/>
      <c r="D96" s="18" t="n"/>
      <c r="E96" s="18" t="n"/>
      <c r="F96" s="18" t="n"/>
      <c r="G96" s="18" t="n"/>
      <c r="H96" s="18" t="n"/>
      <c r="I96" s="30" t="n"/>
      <c r="J96" s="18" t="n"/>
      <c r="K96" s="18" t="n"/>
    </row>
    <row r="97">
      <c r="A97" s="18" t="n"/>
      <c r="B97" s="18" t="n"/>
      <c r="C97" s="18" t="n"/>
      <c r="D97" s="18" t="n"/>
      <c r="E97" s="18" t="n"/>
      <c r="F97" s="18" t="n"/>
      <c r="G97" s="18" t="n"/>
      <c r="H97" s="18" t="n"/>
      <c r="I97" s="30" t="n"/>
      <c r="J97" s="18" t="n"/>
      <c r="K97" s="18" t="n"/>
    </row>
    <row r="98">
      <c r="A98" s="18" t="n"/>
      <c r="B98" s="18" t="n"/>
      <c r="C98" s="18" t="n"/>
      <c r="D98" s="18" t="n"/>
      <c r="E98" s="18" t="n"/>
      <c r="F98" s="18" t="n"/>
      <c r="G98" s="18" t="n"/>
      <c r="H98" s="18" t="n"/>
      <c r="I98" s="30" t="n"/>
      <c r="J98" s="18" t="n"/>
      <c r="K98" s="18" t="n"/>
    </row>
    <row r="99">
      <c r="A99" s="18" t="n"/>
      <c r="B99" s="18" t="n"/>
      <c r="C99" s="18" t="n"/>
      <c r="D99" s="18" t="n"/>
      <c r="E99" s="18" t="n"/>
      <c r="F99" s="18" t="n"/>
      <c r="G99" s="18" t="n"/>
      <c r="H99" s="18" t="n"/>
      <c r="I99" s="30" t="n"/>
      <c r="J99" s="18" t="n"/>
      <c r="K99" s="18" t="n"/>
    </row>
    <row r="100">
      <c r="A100" s="18" t="n"/>
      <c r="B100" s="18" t="n"/>
      <c r="C100" s="18" t="n"/>
      <c r="D100" s="18" t="n"/>
      <c r="E100" s="18" t="n"/>
      <c r="F100" s="18" t="n"/>
      <c r="G100" s="18" t="n"/>
      <c r="H100" s="18" t="n"/>
      <c r="I100" s="30" t="n"/>
      <c r="J100" s="18" t="n"/>
      <c r="K100" s="18" t="n"/>
    </row>
    <row r="101">
      <c r="A101" s="18" t="n"/>
      <c r="B101" s="18" t="n"/>
      <c r="C101" s="18" t="n"/>
      <c r="D101" s="18" t="n"/>
      <c r="E101" s="18" t="n"/>
      <c r="F101" s="18" t="n"/>
      <c r="G101" s="18" t="n"/>
      <c r="H101" s="18" t="n"/>
      <c r="I101" s="30" t="n"/>
      <c r="J101" s="18" t="n"/>
      <c r="K101" s="18" t="n"/>
    </row>
    <row r="102">
      <c r="A102" s="18" t="n"/>
      <c r="B102" s="18" t="n"/>
      <c r="C102" s="18" t="n"/>
      <c r="D102" s="18" t="n"/>
      <c r="E102" s="18" t="n"/>
      <c r="F102" s="18" t="n"/>
      <c r="G102" s="18" t="n"/>
      <c r="H102" s="18" t="n"/>
      <c r="I102" s="30" t="n"/>
      <c r="J102" s="18" t="n"/>
      <c r="K102" s="18" t="n"/>
    </row>
    <row r="103">
      <c r="A103" s="18" t="n"/>
      <c r="B103" s="18" t="n"/>
      <c r="C103" s="18" t="n"/>
      <c r="D103" s="18" t="n"/>
      <c r="E103" s="18" t="n"/>
      <c r="F103" s="18" t="n"/>
      <c r="G103" s="18" t="n"/>
      <c r="H103" s="18" t="n"/>
      <c r="I103" s="30" t="n"/>
      <c r="J103" s="18" t="n"/>
      <c r="K103" s="18" t="n"/>
    </row>
    <row r="104">
      <c r="A104" s="18" t="n"/>
      <c r="B104" s="18" t="n"/>
      <c r="C104" s="18" t="n"/>
      <c r="D104" s="18" t="n"/>
      <c r="E104" s="18" t="n"/>
      <c r="F104" s="18" t="n"/>
      <c r="G104" s="18" t="n"/>
      <c r="H104" s="18" t="n"/>
      <c r="I104" s="30" t="n"/>
      <c r="J104" s="18" t="n"/>
      <c r="K104" s="18" t="n"/>
    </row>
  </sheetData>
  <autoFilter ref="A4:K104"/>
  <mergeCells count="3">
    <mergeCell ref="A2:K2"/>
    <mergeCell ref="A1:K1"/>
    <mergeCell ref="M14:N14"/>
  </mergeCells>
  <dataValidations count="4">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"crownseoagency.com,badassbacklinks.com"</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1" type="list">
      <formula1>"Guest Post,Niche Edit,Outreach,Directory,Digital PR,HARO,Resource Page,Broken Link,Other"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"Not Contacted,Contacted,Replied,Negotiating,Won,Lost"</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1" type="list">
      <formula1>"Partner 1,Partner 2,Partner 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04"/>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26" customWidth="1" min="3" max="3"/>
    <col width="24" customWidth="1" min="4" max="4"/>
    <col width="9" customWidth="1" min="5" max="5"/>
    <col width="22" customWidth="1" min="6" max="6"/>
    <col width="12" customWidth="1" min="7" max="7"/>
    <col width="16" customWidth="1" min="8" max="8"/>
    <col width="12" customWidth="1" min="9" max="9"/>
    <col width="10" customWidth="1" min="10" max="10"/>
    <col width="12" customWidth="1" min="11" max="11"/>
    <col width="15" customWidth="1" min="13" max="13"/>
    <col width="15" customWidth="1" min="14" max="14"/>
    <col width="15" customWidth="1" min="15" max="15"/>
    <col width="15" customWidth="1" min="16" max="16"/>
  </cols>
  <sheetData>
    <row r="1" ht="34" customHeight="1">
      <c r="A1" s="1" t="inlineStr">
        <is>
          <t>Backlinks Tracker</t>
        </is>
      </c>
    </row>
    <row r="2" ht="20" customHeight="1">
      <c r="A2" s="2" t="inlineStr">
        <is>
          <t>Every link built or earned. 'Status = Live' is what actually counts.</t>
        </is>
      </c>
    </row>
    <row r="4" ht="30" customHeight="1">
      <c r="A4" s="14" t="inlineStr">
        <is>
          <t>Date</t>
        </is>
      </c>
      <c r="B4" s="14" t="inlineStr">
        <is>
          <t>Site</t>
        </is>
      </c>
      <c r="C4" s="14" t="inlineStr">
        <is>
          <t>Target URL (yours)</t>
        </is>
      </c>
      <c r="D4" s="14" t="inlineStr">
        <is>
          <t>Source Domain</t>
        </is>
      </c>
      <c r="E4" s="14" t="inlineStr">
        <is>
          <t>DR / DA</t>
        </is>
      </c>
      <c r="F4" s="14" t="inlineStr">
        <is>
          <t>Anchor Text</t>
        </is>
      </c>
      <c r="G4" s="14" t="inlineStr">
        <is>
          <t>Type</t>
        </is>
      </c>
      <c r="H4" s="14" t="inlineStr">
        <is>
          <t>Method</t>
        </is>
      </c>
      <c r="I4" s="14" t="inlineStr">
        <is>
          <t>Built By</t>
        </is>
      </c>
      <c r="J4" s="14" t="inlineStr">
        <is>
          <t>Cost ($)</t>
        </is>
      </c>
      <c r="K4" s="14" t="inlineStr">
        <is>
          <t>Status</t>
        </is>
      </c>
      <c r="M4" s="3" t="inlineStr">
        <is>
          <t>LINK SUMMARY</t>
        </is>
      </c>
    </row>
    <row r="5">
      <c r="A5" s="18" t="inlineStr">
        <is>
          <t>2026-08-10</t>
        </is>
      </c>
      <c r="B5" s="18" t="inlineStr">
        <is>
          <t>badassbacklinks.com</t>
        </is>
      </c>
      <c r="C5" s="18" t="inlineStr">
        <is>
          <t>/services</t>
        </is>
      </c>
      <c r="D5" s="18" t="inlineStr">
        <is>
          <t>nichesite.com</t>
        </is>
      </c>
      <c r="E5" s="18" t="n">
        <v>52</v>
      </c>
      <c r="F5" s="18" t="inlineStr">
        <is>
          <t>backlink services</t>
        </is>
      </c>
      <c r="G5" s="18" t="inlineStr">
        <is>
          <t>Dofollow</t>
        </is>
      </c>
      <c r="H5" s="18" t="inlineStr">
        <is>
          <t>Guest Post</t>
        </is>
      </c>
      <c r="I5" s="18" t="inlineStr">
        <is>
          <t>Partner 2</t>
        </is>
      </c>
      <c r="J5" s="30" t="n">
        <v>0</v>
      </c>
      <c r="K5" s="18" t="inlineStr">
        <is>
          <t>Live</t>
        </is>
      </c>
      <c r="M5" s="14" t="inlineStr">
        <is>
          <t>Site</t>
        </is>
      </c>
      <c r="N5" s="14" t="inlineStr">
        <is>
          <t>Live</t>
        </is>
      </c>
      <c r="O5" s="14" t="inlineStr">
        <is>
          <t>Dofollow (live)</t>
        </is>
      </c>
      <c r="P5" s="14" t="inlineStr">
        <is>
          <t>Spend $</t>
        </is>
      </c>
    </row>
    <row r="6">
      <c r="A6" s="18" t="inlineStr">
        <is>
          <t>2026-08-12</t>
        </is>
      </c>
      <c r="B6" s="18" t="inlineStr">
        <is>
          <t>crownseoagency.com</t>
        </is>
      </c>
      <c r="C6" s="18" t="inlineStr">
        <is>
          <t>/</t>
        </is>
      </c>
      <c r="D6" s="18" t="inlineStr">
        <is>
          <t>marketingblog.com</t>
        </is>
      </c>
      <c r="E6" s="18" t="n">
        <v>41</v>
      </c>
      <c r="F6" s="18" t="inlineStr">
        <is>
          <t>SEO agency</t>
        </is>
      </c>
      <c r="G6" s="18" t="inlineStr">
        <is>
          <t>Dofollow</t>
        </is>
      </c>
      <c r="H6" s="18" t="inlineStr">
        <is>
          <t>Outreach</t>
        </is>
      </c>
      <c r="I6" s="18" t="inlineStr">
        <is>
          <t>Partner 1</t>
        </is>
      </c>
      <c r="J6" s="30" t="n">
        <v>120</v>
      </c>
      <c r="K6" s="18" t="inlineStr">
        <is>
          <t>Pending</t>
        </is>
      </c>
      <c r="M6" s="21" t="inlineStr">
        <is>
          <t>crownseoagency.com</t>
        </is>
      </c>
      <c r="N6" s="22">
        <f>COUNTIFS($B$5:$B$104,M6,$K$5:$K$104,"Live")</f>
        <v/>
      </c>
      <c r="O6" s="22">
        <f>COUNTIFS($B$5:$B$104,M6,$K$5:$K$104,"Live",$G$5:$G$104,"Dofollow")</f>
        <v/>
      </c>
      <c r="P6" s="32">
        <f>SUMIFS($J$5:$J$104,$B$5:$B$104,M6)</f>
        <v/>
      </c>
    </row>
    <row r="7">
      <c r="A7" s="18" t="inlineStr">
        <is>
          <t>2026-08-13</t>
        </is>
      </c>
      <c r="B7" s="18" t="inlineStr">
        <is>
          <t>crownseoagency.com</t>
        </is>
      </c>
      <c r="C7" s="18" t="inlineStr">
        <is>
          <t>/blog/local-seo</t>
        </is>
      </c>
      <c r="D7" s="18" t="inlineStr">
        <is>
          <t>directory.io</t>
        </is>
      </c>
      <c r="E7" s="18" t="n">
        <v>30</v>
      </c>
      <c r="F7" s="18" t="inlineStr">
        <is>
          <t>crownseoagency</t>
        </is>
      </c>
      <c r="G7" s="18" t="inlineStr">
        <is>
          <t>Nofollow</t>
        </is>
      </c>
      <c r="H7" s="18" t="inlineStr">
        <is>
          <t>Directory</t>
        </is>
      </c>
      <c r="I7" s="18" t="inlineStr">
        <is>
          <t>Partner 3</t>
        </is>
      </c>
      <c r="J7" s="30" t="n">
        <v>0</v>
      </c>
      <c r="K7" s="18" t="inlineStr">
        <is>
          <t>Live</t>
        </is>
      </c>
      <c r="M7" s="21" t="inlineStr">
        <is>
          <t>badassbacklinks.com</t>
        </is>
      </c>
      <c r="N7" s="22">
        <f>COUNTIFS($B$5:$B$104,M7,$K$5:$K$104,"Live")</f>
        <v/>
      </c>
      <c r="O7" s="22">
        <f>COUNTIFS($B$5:$B$104,M7,$K$5:$K$104,"Live",$G$5:$G$104,"Dofollow")</f>
        <v/>
      </c>
      <c r="P7" s="32">
        <f>SUMIFS($J$5:$J$104,$B$5:$B$104,M7)</f>
        <v/>
      </c>
    </row>
    <row r="8">
      <c r="A8" s="18" t="n"/>
      <c r="B8" s="18" t="n"/>
      <c r="C8" s="18" t="n"/>
      <c r="D8" s="18" t="n"/>
      <c r="E8" s="18" t="n"/>
      <c r="F8" s="18" t="n"/>
      <c r="G8" s="18" t="n"/>
      <c r="H8" s="18" t="n"/>
      <c r="I8" s="18" t="n"/>
      <c r="J8" s="30" t="n"/>
      <c r="K8" s="18" t="n"/>
    </row>
    <row r="9">
      <c r="A9" s="18" t="n"/>
      <c r="B9" s="18" t="n"/>
      <c r="C9" s="18" t="n"/>
      <c r="D9" s="18" t="n"/>
      <c r="E9" s="18" t="n"/>
      <c r="F9" s="18" t="n"/>
      <c r="G9" s="18" t="n"/>
      <c r="H9" s="18" t="n"/>
      <c r="I9" s="18" t="n"/>
      <c r="J9" s="30" t="n"/>
      <c r="K9" s="18" t="n"/>
    </row>
    <row r="10">
      <c r="A10" s="18" t="n"/>
      <c r="B10" s="18" t="n"/>
      <c r="C10" s="18" t="n"/>
      <c r="D10" s="18" t="n"/>
      <c r="E10" s="18" t="n"/>
      <c r="F10" s="18" t="n"/>
      <c r="G10" s="18" t="n"/>
      <c r="H10" s="18" t="n"/>
      <c r="I10" s="18" t="n"/>
      <c r="J10" s="30" t="n"/>
      <c r="K10" s="18" t="n"/>
    </row>
    <row r="11">
      <c r="A11" s="18" t="n"/>
      <c r="B11" s="18" t="n"/>
      <c r="C11" s="18" t="n"/>
      <c r="D11" s="18" t="n"/>
      <c r="E11" s="18" t="n"/>
      <c r="F11" s="18" t="n"/>
      <c r="G11" s="18" t="n"/>
      <c r="H11" s="18" t="n"/>
      <c r="I11" s="18" t="n"/>
      <c r="J11" s="30" t="n"/>
      <c r="K11" s="18" t="n"/>
    </row>
    <row r="12">
      <c r="A12" s="18" t="n"/>
      <c r="B12" s="18" t="n"/>
      <c r="C12" s="18" t="n"/>
      <c r="D12" s="18" t="n"/>
      <c r="E12" s="18" t="n"/>
      <c r="F12" s="18" t="n"/>
      <c r="G12" s="18" t="n"/>
      <c r="H12" s="18" t="n"/>
      <c r="I12" s="18" t="n"/>
      <c r="J12" s="30" t="n"/>
      <c r="K12" s="18" t="n"/>
    </row>
    <row r="13">
      <c r="A13" s="18" t="n"/>
      <c r="B13" s="18" t="n"/>
      <c r="C13" s="18" t="n"/>
      <c r="D13" s="18" t="n"/>
      <c r="E13" s="18" t="n"/>
      <c r="F13" s="18" t="n"/>
      <c r="G13" s="18" t="n"/>
      <c r="H13" s="18" t="n"/>
      <c r="I13" s="18" t="n"/>
      <c r="J13" s="30" t="n"/>
      <c r="K13" s="18" t="n"/>
    </row>
    <row r="14">
      <c r="A14" s="18" t="n"/>
      <c r="B14" s="18" t="n"/>
      <c r="C14" s="18" t="n"/>
      <c r="D14" s="18" t="n"/>
      <c r="E14" s="18" t="n"/>
      <c r="F14" s="18" t="n"/>
      <c r="G14" s="18" t="n"/>
      <c r="H14" s="18" t="n"/>
      <c r="I14" s="18" t="n"/>
      <c r="J14" s="30" t="n"/>
      <c r="K14" s="18" t="n"/>
    </row>
    <row r="15">
      <c r="A15" s="18" t="n"/>
      <c r="B15" s="18" t="n"/>
      <c r="C15" s="18" t="n"/>
      <c r="D15" s="18" t="n"/>
      <c r="E15" s="18" t="n"/>
      <c r="F15" s="18" t="n"/>
      <c r="G15" s="18" t="n"/>
      <c r="H15" s="18" t="n"/>
      <c r="I15" s="18" t="n"/>
      <c r="J15" s="30" t="n"/>
      <c r="K15" s="18" t="n"/>
    </row>
    <row r="16">
      <c r="A16" s="18" t="n"/>
      <c r="B16" s="18" t="n"/>
      <c r="C16" s="18" t="n"/>
      <c r="D16" s="18" t="n"/>
      <c r="E16" s="18" t="n"/>
      <c r="F16" s="18" t="n"/>
      <c r="G16" s="18" t="n"/>
      <c r="H16" s="18" t="n"/>
      <c r="I16" s="18" t="n"/>
      <c r="J16" s="30" t="n"/>
      <c r="K16" s="18" t="n"/>
    </row>
    <row r="17">
      <c r="A17" s="18" t="n"/>
      <c r="B17" s="18" t="n"/>
      <c r="C17" s="18" t="n"/>
      <c r="D17" s="18" t="n"/>
      <c r="E17" s="18" t="n"/>
      <c r="F17" s="18" t="n"/>
      <c r="G17" s="18" t="n"/>
      <c r="H17" s="18" t="n"/>
      <c r="I17" s="18" t="n"/>
      <c r="J17" s="30" t="n"/>
      <c r="K17" s="18" t="n"/>
    </row>
    <row r="18">
      <c r="A18" s="18" t="n"/>
      <c r="B18" s="18" t="n"/>
      <c r="C18" s="18" t="n"/>
      <c r="D18" s="18" t="n"/>
      <c r="E18" s="18" t="n"/>
      <c r="F18" s="18" t="n"/>
      <c r="G18" s="18" t="n"/>
      <c r="H18" s="18" t="n"/>
      <c r="I18" s="18" t="n"/>
      <c r="J18" s="30" t="n"/>
      <c r="K18" s="18" t="n"/>
    </row>
    <row r="19">
      <c r="A19" s="18" t="n"/>
      <c r="B19" s="18" t="n"/>
      <c r="C19" s="18" t="n"/>
      <c r="D19" s="18" t="n"/>
      <c r="E19" s="18" t="n"/>
      <c r="F19" s="18" t="n"/>
      <c r="G19" s="18" t="n"/>
      <c r="H19" s="18" t="n"/>
      <c r="I19" s="18" t="n"/>
      <c r="J19" s="30" t="n"/>
      <c r="K19" s="18" t="n"/>
    </row>
    <row r="20">
      <c r="A20" s="18" t="n"/>
      <c r="B20" s="18" t="n"/>
      <c r="C20" s="18" t="n"/>
      <c r="D20" s="18" t="n"/>
      <c r="E20" s="18" t="n"/>
      <c r="F20" s="18" t="n"/>
      <c r="G20" s="18" t="n"/>
      <c r="H20" s="18" t="n"/>
      <c r="I20" s="18" t="n"/>
      <c r="J20" s="30" t="n"/>
      <c r="K20" s="18" t="n"/>
    </row>
    <row r="21">
      <c r="A21" s="18" t="n"/>
      <c r="B21" s="18" t="n"/>
      <c r="C21" s="18" t="n"/>
      <c r="D21" s="18" t="n"/>
      <c r="E21" s="18" t="n"/>
      <c r="F21" s="18" t="n"/>
      <c r="G21" s="18" t="n"/>
      <c r="H21" s="18" t="n"/>
      <c r="I21" s="18" t="n"/>
      <c r="J21" s="30" t="n"/>
      <c r="K21" s="18" t="n"/>
    </row>
    <row r="22">
      <c r="A22" s="18" t="n"/>
      <c r="B22" s="18" t="n"/>
      <c r="C22" s="18" t="n"/>
      <c r="D22" s="18" t="n"/>
      <c r="E22" s="18" t="n"/>
      <c r="F22" s="18" t="n"/>
      <c r="G22" s="18" t="n"/>
      <c r="H22" s="18" t="n"/>
      <c r="I22" s="18" t="n"/>
      <c r="J22" s="30" t="n"/>
      <c r="K22" s="18" t="n"/>
    </row>
    <row r="23">
      <c r="A23" s="18" t="n"/>
      <c r="B23" s="18" t="n"/>
      <c r="C23" s="18" t="n"/>
      <c r="D23" s="18" t="n"/>
      <c r="E23" s="18" t="n"/>
      <c r="F23" s="18" t="n"/>
      <c r="G23" s="18" t="n"/>
      <c r="H23" s="18" t="n"/>
      <c r="I23" s="18" t="n"/>
      <c r="J23" s="30" t="n"/>
      <c r="K23" s="18" t="n"/>
    </row>
    <row r="24">
      <c r="A24" s="18" t="n"/>
      <c r="B24" s="18" t="n"/>
      <c r="C24" s="18" t="n"/>
      <c r="D24" s="18" t="n"/>
      <c r="E24" s="18" t="n"/>
      <c r="F24" s="18" t="n"/>
      <c r="G24" s="18" t="n"/>
      <c r="H24" s="18" t="n"/>
      <c r="I24" s="18" t="n"/>
      <c r="J24" s="30" t="n"/>
      <c r="K24" s="18" t="n"/>
    </row>
    <row r="25">
      <c r="A25" s="18" t="n"/>
      <c r="B25" s="18" t="n"/>
      <c r="C25" s="18" t="n"/>
      <c r="D25" s="18" t="n"/>
      <c r="E25" s="18" t="n"/>
      <c r="F25" s="18" t="n"/>
      <c r="G25" s="18" t="n"/>
      <c r="H25" s="18" t="n"/>
      <c r="I25" s="18" t="n"/>
      <c r="J25" s="30" t="n"/>
      <c r="K25" s="18" t="n"/>
    </row>
    <row r="26">
      <c r="A26" s="18" t="n"/>
      <c r="B26" s="18" t="n"/>
      <c r="C26" s="18" t="n"/>
      <c r="D26" s="18" t="n"/>
      <c r="E26" s="18" t="n"/>
      <c r="F26" s="18" t="n"/>
      <c r="G26" s="18" t="n"/>
      <c r="H26" s="18" t="n"/>
      <c r="I26" s="18" t="n"/>
      <c r="J26" s="30" t="n"/>
      <c r="K26" s="18" t="n"/>
    </row>
    <row r="27">
      <c r="A27" s="18" t="n"/>
      <c r="B27" s="18" t="n"/>
      <c r="C27" s="18" t="n"/>
      <c r="D27" s="18" t="n"/>
      <c r="E27" s="18" t="n"/>
      <c r="F27" s="18" t="n"/>
      <c r="G27" s="18" t="n"/>
      <c r="H27" s="18" t="n"/>
      <c r="I27" s="18" t="n"/>
      <c r="J27" s="30" t="n"/>
      <c r="K27" s="18" t="n"/>
    </row>
    <row r="28">
      <c r="A28" s="18" t="n"/>
      <c r="B28" s="18" t="n"/>
      <c r="C28" s="18" t="n"/>
      <c r="D28" s="18" t="n"/>
      <c r="E28" s="18" t="n"/>
      <c r="F28" s="18" t="n"/>
      <c r="G28" s="18" t="n"/>
      <c r="H28" s="18" t="n"/>
      <c r="I28" s="18" t="n"/>
      <c r="J28" s="30" t="n"/>
      <c r="K28" s="18" t="n"/>
    </row>
    <row r="29">
      <c r="A29" s="18" t="n"/>
      <c r="B29" s="18" t="n"/>
      <c r="C29" s="18" t="n"/>
      <c r="D29" s="18" t="n"/>
      <c r="E29" s="18" t="n"/>
      <c r="F29" s="18" t="n"/>
      <c r="G29" s="18" t="n"/>
      <c r="H29" s="18" t="n"/>
      <c r="I29" s="18" t="n"/>
      <c r="J29" s="30" t="n"/>
      <c r="K29" s="18" t="n"/>
    </row>
    <row r="30">
      <c r="A30" s="18" t="n"/>
      <c r="B30" s="18" t="n"/>
      <c r="C30" s="18" t="n"/>
      <c r="D30" s="18" t="n"/>
      <c r="E30" s="18" t="n"/>
      <c r="F30" s="18" t="n"/>
      <c r="G30" s="18" t="n"/>
      <c r="H30" s="18" t="n"/>
      <c r="I30" s="18" t="n"/>
      <c r="J30" s="30" t="n"/>
      <c r="K30" s="18" t="n"/>
    </row>
    <row r="31">
      <c r="A31" s="18" t="n"/>
      <c r="B31" s="18" t="n"/>
      <c r="C31" s="18" t="n"/>
      <c r="D31" s="18" t="n"/>
      <c r="E31" s="18" t="n"/>
      <c r="F31" s="18" t="n"/>
      <c r="G31" s="18" t="n"/>
      <c r="H31" s="18" t="n"/>
      <c r="I31" s="18" t="n"/>
      <c r="J31" s="30" t="n"/>
      <c r="K31" s="18" t="n"/>
    </row>
    <row r="32">
      <c r="A32" s="18" t="n"/>
      <c r="B32" s="18" t="n"/>
      <c r="C32" s="18" t="n"/>
      <c r="D32" s="18" t="n"/>
      <c r="E32" s="18" t="n"/>
      <c r="F32" s="18" t="n"/>
      <c r="G32" s="18" t="n"/>
      <c r="H32" s="18" t="n"/>
      <c r="I32" s="18" t="n"/>
      <c r="J32" s="30" t="n"/>
      <c r="K32" s="18" t="n"/>
    </row>
    <row r="33">
      <c r="A33" s="18" t="n"/>
      <c r="B33" s="18" t="n"/>
      <c r="C33" s="18" t="n"/>
      <c r="D33" s="18" t="n"/>
      <c r="E33" s="18" t="n"/>
      <c r="F33" s="18" t="n"/>
      <c r="G33" s="18" t="n"/>
      <c r="H33" s="18" t="n"/>
      <c r="I33" s="18" t="n"/>
      <c r="J33" s="30" t="n"/>
      <c r="K33" s="18" t="n"/>
    </row>
    <row r="34">
      <c r="A34" s="18" t="n"/>
      <c r="B34" s="18" t="n"/>
      <c r="C34" s="18" t="n"/>
      <c r="D34" s="18" t="n"/>
      <c r="E34" s="18" t="n"/>
      <c r="F34" s="18" t="n"/>
      <c r="G34" s="18" t="n"/>
      <c r="H34" s="18" t="n"/>
      <c r="I34" s="18" t="n"/>
      <c r="J34" s="30" t="n"/>
      <c r="K34" s="18" t="n"/>
    </row>
    <row r="35">
      <c r="A35" s="18" t="n"/>
      <c r="B35" s="18" t="n"/>
      <c r="C35" s="18" t="n"/>
      <c r="D35" s="18" t="n"/>
      <c r="E35" s="18" t="n"/>
      <c r="F35" s="18" t="n"/>
      <c r="G35" s="18" t="n"/>
      <c r="H35" s="18" t="n"/>
      <c r="I35" s="18" t="n"/>
      <c r="J35" s="30" t="n"/>
      <c r="K35" s="18" t="n"/>
    </row>
    <row r="36">
      <c r="A36" s="18" t="n"/>
      <c r="B36" s="18" t="n"/>
      <c r="C36" s="18" t="n"/>
      <c r="D36" s="18" t="n"/>
      <c r="E36" s="18" t="n"/>
      <c r="F36" s="18" t="n"/>
      <c r="G36" s="18" t="n"/>
      <c r="H36" s="18" t="n"/>
      <c r="I36" s="18" t="n"/>
      <c r="J36" s="30" t="n"/>
      <c r="K36" s="18" t="n"/>
    </row>
    <row r="37">
      <c r="A37" s="18" t="n"/>
      <c r="B37" s="18" t="n"/>
      <c r="C37" s="18" t="n"/>
      <c r="D37" s="18" t="n"/>
      <c r="E37" s="18" t="n"/>
      <c r="F37" s="18" t="n"/>
      <c r="G37" s="18" t="n"/>
      <c r="H37" s="18" t="n"/>
      <c r="I37" s="18" t="n"/>
      <c r="J37" s="30" t="n"/>
      <c r="K37" s="18" t="n"/>
    </row>
    <row r="38">
      <c r="A38" s="18" t="n"/>
      <c r="B38" s="18" t="n"/>
      <c r="C38" s="18" t="n"/>
      <c r="D38" s="18" t="n"/>
      <c r="E38" s="18" t="n"/>
      <c r="F38" s="18" t="n"/>
      <c r="G38" s="18" t="n"/>
      <c r="H38" s="18" t="n"/>
      <c r="I38" s="18" t="n"/>
      <c r="J38" s="30" t="n"/>
      <c r="K38" s="18" t="n"/>
    </row>
    <row r="39">
      <c r="A39" s="18" t="n"/>
      <c r="B39" s="18" t="n"/>
      <c r="C39" s="18" t="n"/>
      <c r="D39" s="18" t="n"/>
      <c r="E39" s="18" t="n"/>
      <c r="F39" s="18" t="n"/>
      <c r="G39" s="18" t="n"/>
      <c r="H39" s="18" t="n"/>
      <c r="I39" s="18" t="n"/>
      <c r="J39" s="30" t="n"/>
      <c r="K39" s="18" t="n"/>
    </row>
    <row r="40">
      <c r="A40" s="18" t="n"/>
      <c r="B40" s="18" t="n"/>
      <c r="C40" s="18" t="n"/>
      <c r="D40" s="18" t="n"/>
      <c r="E40" s="18" t="n"/>
      <c r="F40" s="18" t="n"/>
      <c r="G40" s="18" t="n"/>
      <c r="H40" s="18" t="n"/>
      <c r="I40" s="18" t="n"/>
      <c r="J40" s="30" t="n"/>
      <c r="K40" s="18" t="n"/>
    </row>
    <row r="41">
      <c r="A41" s="18" t="n"/>
      <c r="B41" s="18" t="n"/>
      <c r="C41" s="18" t="n"/>
      <c r="D41" s="18" t="n"/>
      <c r="E41" s="18" t="n"/>
      <c r="F41" s="18" t="n"/>
      <c r="G41" s="18" t="n"/>
      <c r="H41" s="18" t="n"/>
      <c r="I41" s="18" t="n"/>
      <c r="J41" s="30" t="n"/>
      <c r="K41" s="18" t="n"/>
    </row>
    <row r="42">
      <c r="A42" s="18" t="n"/>
      <c r="B42" s="18" t="n"/>
      <c r="C42" s="18" t="n"/>
      <c r="D42" s="18" t="n"/>
      <c r="E42" s="18" t="n"/>
      <c r="F42" s="18" t="n"/>
      <c r="G42" s="18" t="n"/>
      <c r="H42" s="18" t="n"/>
      <c r="I42" s="18" t="n"/>
      <c r="J42" s="30" t="n"/>
      <c r="K42" s="18" t="n"/>
    </row>
    <row r="43">
      <c r="A43" s="18" t="n"/>
      <c r="B43" s="18" t="n"/>
      <c r="C43" s="18" t="n"/>
      <c r="D43" s="18" t="n"/>
      <c r="E43" s="18" t="n"/>
      <c r="F43" s="18" t="n"/>
      <c r="G43" s="18" t="n"/>
      <c r="H43" s="18" t="n"/>
      <c r="I43" s="18" t="n"/>
      <c r="J43" s="30" t="n"/>
      <c r="K43" s="18" t="n"/>
    </row>
    <row r="44">
      <c r="A44" s="18" t="n"/>
      <c r="B44" s="18" t="n"/>
      <c r="C44" s="18" t="n"/>
      <c r="D44" s="18" t="n"/>
      <c r="E44" s="18" t="n"/>
      <c r="F44" s="18" t="n"/>
      <c r="G44" s="18" t="n"/>
      <c r="H44" s="18" t="n"/>
      <c r="I44" s="18" t="n"/>
      <c r="J44" s="30" t="n"/>
      <c r="K44" s="18" t="n"/>
    </row>
    <row r="45">
      <c r="A45" s="18" t="n"/>
      <c r="B45" s="18" t="n"/>
      <c r="C45" s="18" t="n"/>
      <c r="D45" s="18" t="n"/>
      <c r="E45" s="18" t="n"/>
      <c r="F45" s="18" t="n"/>
      <c r="G45" s="18" t="n"/>
      <c r="H45" s="18" t="n"/>
      <c r="I45" s="18" t="n"/>
      <c r="J45" s="30" t="n"/>
      <c r="K45" s="18" t="n"/>
    </row>
    <row r="46">
      <c r="A46" s="18" t="n"/>
      <c r="B46" s="18" t="n"/>
      <c r="C46" s="18" t="n"/>
      <c r="D46" s="18" t="n"/>
      <c r="E46" s="18" t="n"/>
      <c r="F46" s="18" t="n"/>
      <c r="G46" s="18" t="n"/>
      <c r="H46" s="18" t="n"/>
      <c r="I46" s="18" t="n"/>
      <c r="J46" s="30" t="n"/>
      <c r="K46" s="18" t="n"/>
    </row>
    <row r="47">
      <c r="A47" s="18" t="n"/>
      <c r="B47" s="18" t="n"/>
      <c r="C47" s="18" t="n"/>
      <c r="D47" s="18" t="n"/>
      <c r="E47" s="18" t="n"/>
      <c r="F47" s="18" t="n"/>
      <c r="G47" s="18" t="n"/>
      <c r="H47" s="18" t="n"/>
      <c r="I47" s="18" t="n"/>
      <c r="J47" s="30" t="n"/>
      <c r="K47" s="18" t="n"/>
    </row>
    <row r="48">
      <c r="A48" s="18" t="n"/>
      <c r="B48" s="18" t="n"/>
      <c r="C48" s="18" t="n"/>
      <c r="D48" s="18" t="n"/>
      <c r="E48" s="18" t="n"/>
      <c r="F48" s="18" t="n"/>
      <c r="G48" s="18" t="n"/>
      <c r="H48" s="18" t="n"/>
      <c r="I48" s="18" t="n"/>
      <c r="J48" s="30" t="n"/>
      <c r="K48" s="18" t="n"/>
    </row>
    <row r="49">
      <c r="A49" s="18" t="n"/>
      <c r="B49" s="18" t="n"/>
      <c r="C49" s="18" t="n"/>
      <c r="D49" s="18" t="n"/>
      <c r="E49" s="18" t="n"/>
      <c r="F49" s="18" t="n"/>
      <c r="G49" s="18" t="n"/>
      <c r="H49" s="18" t="n"/>
      <c r="I49" s="18" t="n"/>
      <c r="J49" s="30" t="n"/>
      <c r="K49" s="18" t="n"/>
    </row>
    <row r="50">
      <c r="A50" s="18" t="n"/>
      <c r="B50" s="18" t="n"/>
      <c r="C50" s="18" t="n"/>
      <c r="D50" s="18" t="n"/>
      <c r="E50" s="18" t="n"/>
      <c r="F50" s="18" t="n"/>
      <c r="G50" s="18" t="n"/>
      <c r="H50" s="18" t="n"/>
      <c r="I50" s="18" t="n"/>
      <c r="J50" s="30" t="n"/>
      <c r="K50" s="18" t="n"/>
    </row>
    <row r="51">
      <c r="A51" s="18" t="n"/>
      <c r="B51" s="18" t="n"/>
      <c r="C51" s="18" t="n"/>
      <c r="D51" s="18" t="n"/>
      <c r="E51" s="18" t="n"/>
      <c r="F51" s="18" t="n"/>
      <c r="G51" s="18" t="n"/>
      <c r="H51" s="18" t="n"/>
      <c r="I51" s="18" t="n"/>
      <c r="J51" s="30" t="n"/>
      <c r="K51" s="18" t="n"/>
    </row>
    <row r="52">
      <c r="A52" s="18" t="n"/>
      <c r="B52" s="18" t="n"/>
      <c r="C52" s="18" t="n"/>
      <c r="D52" s="18" t="n"/>
      <c r="E52" s="18" t="n"/>
      <c r="F52" s="18" t="n"/>
      <c r="G52" s="18" t="n"/>
      <c r="H52" s="18" t="n"/>
      <c r="I52" s="18" t="n"/>
      <c r="J52" s="30" t="n"/>
      <c r="K52" s="18" t="n"/>
    </row>
    <row r="53">
      <c r="A53" s="18" t="n"/>
      <c r="B53" s="18" t="n"/>
      <c r="C53" s="18" t="n"/>
      <c r="D53" s="18" t="n"/>
      <c r="E53" s="18" t="n"/>
      <c r="F53" s="18" t="n"/>
      <c r="G53" s="18" t="n"/>
      <c r="H53" s="18" t="n"/>
      <c r="I53" s="18" t="n"/>
      <c r="J53" s="30" t="n"/>
      <c r="K53" s="18" t="n"/>
    </row>
    <row r="54">
      <c r="A54" s="18" t="n"/>
      <c r="B54" s="18" t="n"/>
      <c r="C54" s="18" t="n"/>
      <c r="D54" s="18" t="n"/>
      <c r="E54" s="18" t="n"/>
      <c r="F54" s="18" t="n"/>
      <c r="G54" s="18" t="n"/>
      <c r="H54" s="18" t="n"/>
      <c r="I54" s="18" t="n"/>
      <c r="J54" s="30" t="n"/>
      <c r="K54" s="18" t="n"/>
    </row>
    <row r="55">
      <c r="A55" s="18" t="n"/>
      <c r="B55" s="18" t="n"/>
      <c r="C55" s="18" t="n"/>
      <c r="D55" s="18" t="n"/>
      <c r="E55" s="18" t="n"/>
      <c r="F55" s="18" t="n"/>
      <c r="G55" s="18" t="n"/>
      <c r="H55" s="18" t="n"/>
      <c r="I55" s="18" t="n"/>
      <c r="J55" s="30" t="n"/>
      <c r="K55" s="18" t="n"/>
    </row>
    <row r="56">
      <c r="A56" s="18" t="n"/>
      <c r="B56" s="18" t="n"/>
      <c r="C56" s="18" t="n"/>
      <c r="D56" s="18" t="n"/>
      <c r="E56" s="18" t="n"/>
      <c r="F56" s="18" t="n"/>
      <c r="G56" s="18" t="n"/>
      <c r="H56" s="18" t="n"/>
      <c r="I56" s="18" t="n"/>
      <c r="J56" s="30" t="n"/>
      <c r="K56" s="18" t="n"/>
    </row>
    <row r="57">
      <c r="A57" s="18" t="n"/>
      <c r="B57" s="18" t="n"/>
      <c r="C57" s="18" t="n"/>
      <c r="D57" s="18" t="n"/>
      <c r="E57" s="18" t="n"/>
      <c r="F57" s="18" t="n"/>
      <c r="G57" s="18" t="n"/>
      <c r="H57" s="18" t="n"/>
      <c r="I57" s="18" t="n"/>
      <c r="J57" s="30" t="n"/>
      <c r="K57" s="18" t="n"/>
    </row>
    <row r="58">
      <c r="A58" s="18" t="n"/>
      <c r="B58" s="18" t="n"/>
      <c r="C58" s="18" t="n"/>
      <c r="D58" s="18" t="n"/>
      <c r="E58" s="18" t="n"/>
      <c r="F58" s="18" t="n"/>
      <c r="G58" s="18" t="n"/>
      <c r="H58" s="18" t="n"/>
      <c r="I58" s="18" t="n"/>
      <c r="J58" s="30" t="n"/>
      <c r="K58" s="18" t="n"/>
    </row>
    <row r="59">
      <c r="A59" s="18" t="n"/>
      <c r="B59" s="18" t="n"/>
      <c r="C59" s="18" t="n"/>
      <c r="D59" s="18" t="n"/>
      <c r="E59" s="18" t="n"/>
      <c r="F59" s="18" t="n"/>
      <c r="G59" s="18" t="n"/>
      <c r="H59" s="18" t="n"/>
      <c r="I59" s="18" t="n"/>
      <c r="J59" s="30" t="n"/>
      <c r="K59" s="18" t="n"/>
    </row>
    <row r="60">
      <c r="A60" s="18" t="n"/>
      <c r="B60" s="18" t="n"/>
      <c r="C60" s="18" t="n"/>
      <c r="D60" s="18" t="n"/>
      <c r="E60" s="18" t="n"/>
      <c r="F60" s="18" t="n"/>
      <c r="G60" s="18" t="n"/>
      <c r="H60" s="18" t="n"/>
      <c r="I60" s="18" t="n"/>
      <c r="J60" s="30" t="n"/>
      <c r="K60" s="18" t="n"/>
    </row>
    <row r="61">
      <c r="A61" s="18" t="n"/>
      <c r="B61" s="18" t="n"/>
      <c r="C61" s="18" t="n"/>
      <c r="D61" s="18" t="n"/>
      <c r="E61" s="18" t="n"/>
      <c r="F61" s="18" t="n"/>
      <c r="G61" s="18" t="n"/>
      <c r="H61" s="18" t="n"/>
      <c r="I61" s="18" t="n"/>
      <c r="J61" s="30" t="n"/>
      <c r="K61" s="18" t="n"/>
    </row>
    <row r="62">
      <c r="A62" s="18" t="n"/>
      <c r="B62" s="18" t="n"/>
      <c r="C62" s="18" t="n"/>
      <c r="D62" s="18" t="n"/>
      <c r="E62" s="18" t="n"/>
      <c r="F62" s="18" t="n"/>
      <c r="G62" s="18" t="n"/>
      <c r="H62" s="18" t="n"/>
      <c r="I62" s="18" t="n"/>
      <c r="J62" s="30" t="n"/>
      <c r="K62" s="18" t="n"/>
    </row>
    <row r="63">
      <c r="A63" s="18" t="n"/>
      <c r="B63" s="18" t="n"/>
      <c r="C63" s="18" t="n"/>
      <c r="D63" s="18" t="n"/>
      <c r="E63" s="18" t="n"/>
      <c r="F63" s="18" t="n"/>
      <c r="G63" s="18" t="n"/>
      <c r="H63" s="18" t="n"/>
      <c r="I63" s="18" t="n"/>
      <c r="J63" s="30" t="n"/>
      <c r="K63" s="18" t="n"/>
    </row>
    <row r="64">
      <c r="A64" s="18" t="n"/>
      <c r="B64" s="18" t="n"/>
      <c r="C64" s="18" t="n"/>
      <c r="D64" s="18" t="n"/>
      <c r="E64" s="18" t="n"/>
      <c r="F64" s="18" t="n"/>
      <c r="G64" s="18" t="n"/>
      <c r="H64" s="18" t="n"/>
      <c r="I64" s="18" t="n"/>
      <c r="J64" s="30" t="n"/>
      <c r="K64" s="18" t="n"/>
    </row>
    <row r="65">
      <c r="A65" s="18" t="n"/>
      <c r="B65" s="18" t="n"/>
      <c r="C65" s="18" t="n"/>
      <c r="D65" s="18" t="n"/>
      <c r="E65" s="18" t="n"/>
      <c r="F65" s="18" t="n"/>
      <c r="G65" s="18" t="n"/>
      <c r="H65" s="18" t="n"/>
      <c r="I65" s="18" t="n"/>
      <c r="J65" s="30" t="n"/>
      <c r="K65" s="18" t="n"/>
    </row>
    <row r="66">
      <c r="A66" s="18" t="n"/>
      <c r="B66" s="18" t="n"/>
      <c r="C66" s="18" t="n"/>
      <c r="D66" s="18" t="n"/>
      <c r="E66" s="18" t="n"/>
      <c r="F66" s="18" t="n"/>
      <c r="G66" s="18" t="n"/>
      <c r="H66" s="18" t="n"/>
      <c r="I66" s="18" t="n"/>
      <c r="J66" s="30" t="n"/>
      <c r="K66" s="18" t="n"/>
    </row>
    <row r="67">
      <c r="A67" s="18" t="n"/>
      <c r="B67" s="18" t="n"/>
      <c r="C67" s="18" t="n"/>
      <c r="D67" s="18" t="n"/>
      <c r="E67" s="18" t="n"/>
      <c r="F67" s="18" t="n"/>
      <c r="G67" s="18" t="n"/>
      <c r="H67" s="18" t="n"/>
      <c r="I67" s="18" t="n"/>
      <c r="J67" s="30" t="n"/>
      <c r="K67" s="18" t="n"/>
    </row>
    <row r="68">
      <c r="A68" s="18" t="n"/>
      <c r="B68" s="18" t="n"/>
      <c r="C68" s="18" t="n"/>
      <c r="D68" s="18" t="n"/>
      <c r="E68" s="18" t="n"/>
      <c r="F68" s="18" t="n"/>
      <c r="G68" s="18" t="n"/>
      <c r="H68" s="18" t="n"/>
      <c r="I68" s="18" t="n"/>
      <c r="J68" s="30" t="n"/>
      <c r="K68" s="18" t="n"/>
    </row>
    <row r="69">
      <c r="A69" s="18" t="n"/>
      <c r="B69" s="18" t="n"/>
      <c r="C69" s="18" t="n"/>
      <c r="D69" s="18" t="n"/>
      <c r="E69" s="18" t="n"/>
      <c r="F69" s="18" t="n"/>
      <c r="G69" s="18" t="n"/>
      <c r="H69" s="18" t="n"/>
      <c r="I69" s="18" t="n"/>
      <c r="J69" s="30" t="n"/>
      <c r="K69" s="18" t="n"/>
    </row>
    <row r="70">
      <c r="A70" s="18" t="n"/>
      <c r="B70" s="18" t="n"/>
      <c r="C70" s="18" t="n"/>
      <c r="D70" s="18" t="n"/>
      <c r="E70" s="18" t="n"/>
      <c r="F70" s="18" t="n"/>
      <c r="G70" s="18" t="n"/>
      <c r="H70" s="18" t="n"/>
      <c r="I70" s="18" t="n"/>
      <c r="J70" s="30" t="n"/>
      <c r="K70" s="18" t="n"/>
    </row>
    <row r="71">
      <c r="A71" s="18" t="n"/>
      <c r="B71" s="18" t="n"/>
      <c r="C71" s="18" t="n"/>
      <c r="D71" s="18" t="n"/>
      <c r="E71" s="18" t="n"/>
      <c r="F71" s="18" t="n"/>
      <c r="G71" s="18" t="n"/>
      <c r="H71" s="18" t="n"/>
      <c r="I71" s="18" t="n"/>
      <c r="J71" s="30" t="n"/>
      <c r="K71" s="18" t="n"/>
    </row>
    <row r="72">
      <c r="A72" s="18" t="n"/>
      <c r="B72" s="18" t="n"/>
      <c r="C72" s="18" t="n"/>
      <c r="D72" s="18" t="n"/>
      <c r="E72" s="18" t="n"/>
      <c r="F72" s="18" t="n"/>
      <c r="G72" s="18" t="n"/>
      <c r="H72" s="18" t="n"/>
      <c r="I72" s="18" t="n"/>
      <c r="J72" s="30" t="n"/>
      <c r="K72" s="18" t="n"/>
    </row>
    <row r="73">
      <c r="A73" s="18" t="n"/>
      <c r="B73" s="18" t="n"/>
      <c r="C73" s="18" t="n"/>
      <c r="D73" s="18" t="n"/>
      <c r="E73" s="18" t="n"/>
      <c r="F73" s="18" t="n"/>
      <c r="G73" s="18" t="n"/>
      <c r="H73" s="18" t="n"/>
      <c r="I73" s="18" t="n"/>
      <c r="J73" s="30" t="n"/>
      <c r="K73" s="18" t="n"/>
    </row>
    <row r="74">
      <c r="A74" s="18" t="n"/>
      <c r="B74" s="18" t="n"/>
      <c r="C74" s="18" t="n"/>
      <c r="D74" s="18" t="n"/>
      <c r="E74" s="18" t="n"/>
      <c r="F74" s="18" t="n"/>
      <c r="G74" s="18" t="n"/>
      <c r="H74" s="18" t="n"/>
      <c r="I74" s="18" t="n"/>
      <c r="J74" s="30" t="n"/>
      <c r="K74" s="18" t="n"/>
    </row>
    <row r="75">
      <c r="A75" s="18" t="n"/>
      <c r="B75" s="18" t="n"/>
      <c r="C75" s="18" t="n"/>
      <c r="D75" s="18" t="n"/>
      <c r="E75" s="18" t="n"/>
      <c r="F75" s="18" t="n"/>
      <c r="G75" s="18" t="n"/>
      <c r="H75" s="18" t="n"/>
      <c r="I75" s="18" t="n"/>
      <c r="J75" s="30" t="n"/>
      <c r="K75" s="18" t="n"/>
    </row>
    <row r="76">
      <c r="A76" s="18" t="n"/>
      <c r="B76" s="18" t="n"/>
      <c r="C76" s="18" t="n"/>
      <c r="D76" s="18" t="n"/>
      <c r="E76" s="18" t="n"/>
      <c r="F76" s="18" t="n"/>
      <c r="G76" s="18" t="n"/>
      <c r="H76" s="18" t="n"/>
      <c r="I76" s="18" t="n"/>
      <c r="J76" s="30" t="n"/>
      <c r="K76" s="18" t="n"/>
    </row>
    <row r="77">
      <c r="A77" s="18" t="n"/>
      <c r="B77" s="18" t="n"/>
      <c r="C77" s="18" t="n"/>
      <c r="D77" s="18" t="n"/>
      <c r="E77" s="18" t="n"/>
      <c r="F77" s="18" t="n"/>
      <c r="G77" s="18" t="n"/>
      <c r="H77" s="18" t="n"/>
      <c r="I77" s="18" t="n"/>
      <c r="J77" s="30" t="n"/>
      <c r="K77" s="18" t="n"/>
    </row>
    <row r="78">
      <c r="A78" s="18" t="n"/>
      <c r="B78" s="18" t="n"/>
      <c r="C78" s="18" t="n"/>
      <c r="D78" s="18" t="n"/>
      <c r="E78" s="18" t="n"/>
      <c r="F78" s="18" t="n"/>
      <c r="G78" s="18" t="n"/>
      <c r="H78" s="18" t="n"/>
      <c r="I78" s="18" t="n"/>
      <c r="J78" s="30" t="n"/>
      <c r="K78" s="18" t="n"/>
    </row>
    <row r="79">
      <c r="A79" s="18" t="n"/>
      <c r="B79" s="18" t="n"/>
      <c r="C79" s="18" t="n"/>
      <c r="D79" s="18" t="n"/>
      <c r="E79" s="18" t="n"/>
      <c r="F79" s="18" t="n"/>
      <c r="G79" s="18" t="n"/>
      <c r="H79" s="18" t="n"/>
      <c r="I79" s="18" t="n"/>
      <c r="J79" s="30" t="n"/>
      <c r="K79" s="18" t="n"/>
    </row>
    <row r="80">
      <c r="A80" s="18" t="n"/>
      <c r="B80" s="18" t="n"/>
      <c r="C80" s="18" t="n"/>
      <c r="D80" s="18" t="n"/>
      <c r="E80" s="18" t="n"/>
      <c r="F80" s="18" t="n"/>
      <c r="G80" s="18" t="n"/>
      <c r="H80" s="18" t="n"/>
      <c r="I80" s="18" t="n"/>
      <c r="J80" s="30" t="n"/>
      <c r="K80" s="18" t="n"/>
    </row>
    <row r="81">
      <c r="A81" s="18" t="n"/>
      <c r="B81" s="18" t="n"/>
      <c r="C81" s="18" t="n"/>
      <c r="D81" s="18" t="n"/>
      <c r="E81" s="18" t="n"/>
      <c r="F81" s="18" t="n"/>
      <c r="G81" s="18" t="n"/>
      <c r="H81" s="18" t="n"/>
      <c r="I81" s="18" t="n"/>
      <c r="J81" s="30" t="n"/>
      <c r="K81" s="18" t="n"/>
    </row>
    <row r="82">
      <c r="A82" s="18" t="n"/>
      <c r="B82" s="18" t="n"/>
      <c r="C82" s="18" t="n"/>
      <c r="D82" s="18" t="n"/>
      <c r="E82" s="18" t="n"/>
      <c r="F82" s="18" t="n"/>
      <c r="G82" s="18" t="n"/>
      <c r="H82" s="18" t="n"/>
      <c r="I82" s="18" t="n"/>
      <c r="J82" s="30" t="n"/>
      <c r="K82" s="18" t="n"/>
    </row>
    <row r="83">
      <c r="A83" s="18" t="n"/>
      <c r="B83" s="18" t="n"/>
      <c r="C83" s="18" t="n"/>
      <c r="D83" s="18" t="n"/>
      <c r="E83" s="18" t="n"/>
      <c r="F83" s="18" t="n"/>
      <c r="G83" s="18" t="n"/>
      <c r="H83" s="18" t="n"/>
      <c r="I83" s="18" t="n"/>
      <c r="J83" s="30" t="n"/>
      <c r="K83" s="18" t="n"/>
    </row>
    <row r="84">
      <c r="A84" s="18" t="n"/>
      <c r="B84" s="18" t="n"/>
      <c r="C84" s="18" t="n"/>
      <c r="D84" s="18" t="n"/>
      <c r="E84" s="18" t="n"/>
      <c r="F84" s="18" t="n"/>
      <c r="G84" s="18" t="n"/>
      <c r="H84" s="18" t="n"/>
      <c r="I84" s="18" t="n"/>
      <c r="J84" s="30" t="n"/>
      <c r="K84" s="18" t="n"/>
    </row>
    <row r="85">
      <c r="A85" s="18" t="n"/>
      <c r="B85" s="18" t="n"/>
      <c r="C85" s="18" t="n"/>
      <c r="D85" s="18" t="n"/>
      <c r="E85" s="18" t="n"/>
      <c r="F85" s="18" t="n"/>
      <c r="G85" s="18" t="n"/>
      <c r="H85" s="18" t="n"/>
      <c r="I85" s="18" t="n"/>
      <c r="J85" s="30" t="n"/>
      <c r="K85" s="18" t="n"/>
    </row>
    <row r="86">
      <c r="A86" s="18" t="n"/>
      <c r="B86" s="18" t="n"/>
      <c r="C86" s="18" t="n"/>
      <c r="D86" s="18" t="n"/>
      <c r="E86" s="18" t="n"/>
      <c r="F86" s="18" t="n"/>
      <c r="G86" s="18" t="n"/>
      <c r="H86" s="18" t="n"/>
      <c r="I86" s="18" t="n"/>
      <c r="J86" s="30" t="n"/>
      <c r="K86" s="18" t="n"/>
    </row>
    <row r="87">
      <c r="A87" s="18" t="n"/>
      <c r="B87" s="18" t="n"/>
      <c r="C87" s="18" t="n"/>
      <c r="D87" s="18" t="n"/>
      <c r="E87" s="18" t="n"/>
      <c r="F87" s="18" t="n"/>
      <c r="G87" s="18" t="n"/>
      <c r="H87" s="18" t="n"/>
      <c r="I87" s="18" t="n"/>
      <c r="J87" s="30" t="n"/>
      <c r="K87" s="18" t="n"/>
    </row>
    <row r="88">
      <c r="A88" s="18" t="n"/>
      <c r="B88" s="18" t="n"/>
      <c r="C88" s="18" t="n"/>
      <c r="D88" s="18" t="n"/>
      <c r="E88" s="18" t="n"/>
      <c r="F88" s="18" t="n"/>
      <c r="G88" s="18" t="n"/>
      <c r="H88" s="18" t="n"/>
      <c r="I88" s="18" t="n"/>
      <c r="J88" s="30" t="n"/>
      <c r="K88" s="18" t="n"/>
    </row>
    <row r="89">
      <c r="A89" s="18" t="n"/>
      <c r="B89" s="18" t="n"/>
      <c r="C89" s="18" t="n"/>
      <c r="D89" s="18" t="n"/>
      <c r="E89" s="18" t="n"/>
      <c r="F89" s="18" t="n"/>
      <c r="G89" s="18" t="n"/>
      <c r="H89" s="18" t="n"/>
      <c r="I89" s="18" t="n"/>
      <c r="J89" s="30" t="n"/>
      <c r="K89" s="18" t="n"/>
    </row>
    <row r="90">
      <c r="A90" s="18" t="n"/>
      <c r="B90" s="18" t="n"/>
      <c r="C90" s="18" t="n"/>
      <c r="D90" s="18" t="n"/>
      <c r="E90" s="18" t="n"/>
      <c r="F90" s="18" t="n"/>
      <c r="G90" s="18" t="n"/>
      <c r="H90" s="18" t="n"/>
      <c r="I90" s="18" t="n"/>
      <c r="J90" s="30" t="n"/>
      <c r="K90" s="18" t="n"/>
    </row>
    <row r="91">
      <c r="A91" s="18" t="n"/>
      <c r="B91" s="18" t="n"/>
      <c r="C91" s="18" t="n"/>
      <c r="D91" s="18" t="n"/>
      <c r="E91" s="18" t="n"/>
      <c r="F91" s="18" t="n"/>
      <c r="G91" s="18" t="n"/>
      <c r="H91" s="18" t="n"/>
      <c r="I91" s="18" t="n"/>
      <c r="J91" s="30" t="n"/>
      <c r="K91" s="18" t="n"/>
    </row>
    <row r="92">
      <c r="A92" s="18" t="n"/>
      <c r="B92" s="18" t="n"/>
      <c r="C92" s="18" t="n"/>
      <c r="D92" s="18" t="n"/>
      <c r="E92" s="18" t="n"/>
      <c r="F92" s="18" t="n"/>
      <c r="G92" s="18" t="n"/>
      <c r="H92" s="18" t="n"/>
      <c r="I92" s="18" t="n"/>
      <c r="J92" s="30" t="n"/>
      <c r="K92" s="18" t="n"/>
    </row>
    <row r="93">
      <c r="A93" s="18" t="n"/>
      <c r="B93" s="18" t="n"/>
      <c r="C93" s="18" t="n"/>
      <c r="D93" s="18" t="n"/>
      <c r="E93" s="18" t="n"/>
      <c r="F93" s="18" t="n"/>
      <c r="G93" s="18" t="n"/>
      <c r="H93" s="18" t="n"/>
      <c r="I93" s="18" t="n"/>
      <c r="J93" s="30" t="n"/>
      <c r="K93" s="18" t="n"/>
    </row>
    <row r="94">
      <c r="A94" s="18" t="n"/>
      <c r="B94" s="18" t="n"/>
      <c r="C94" s="18" t="n"/>
      <c r="D94" s="18" t="n"/>
      <c r="E94" s="18" t="n"/>
      <c r="F94" s="18" t="n"/>
      <c r="G94" s="18" t="n"/>
      <c r="H94" s="18" t="n"/>
      <c r="I94" s="18" t="n"/>
      <c r="J94" s="30" t="n"/>
      <c r="K94" s="18" t="n"/>
    </row>
    <row r="95">
      <c r="A95" s="18" t="n"/>
      <c r="B95" s="18" t="n"/>
      <c r="C95" s="18" t="n"/>
      <c r="D95" s="18" t="n"/>
      <c r="E95" s="18" t="n"/>
      <c r="F95" s="18" t="n"/>
      <c r="G95" s="18" t="n"/>
      <c r="H95" s="18" t="n"/>
      <c r="I95" s="18" t="n"/>
      <c r="J95" s="30" t="n"/>
      <c r="K95" s="18" t="n"/>
    </row>
    <row r="96">
      <c r="A96" s="18" t="n"/>
      <c r="B96" s="18" t="n"/>
      <c r="C96" s="18" t="n"/>
      <c r="D96" s="18" t="n"/>
      <c r="E96" s="18" t="n"/>
      <c r="F96" s="18" t="n"/>
      <c r="G96" s="18" t="n"/>
      <c r="H96" s="18" t="n"/>
      <c r="I96" s="18" t="n"/>
      <c r="J96" s="30" t="n"/>
      <c r="K96" s="18" t="n"/>
    </row>
    <row r="97">
      <c r="A97" s="18" t="n"/>
      <c r="B97" s="18" t="n"/>
      <c r="C97" s="18" t="n"/>
      <c r="D97" s="18" t="n"/>
      <c r="E97" s="18" t="n"/>
      <c r="F97" s="18" t="n"/>
      <c r="G97" s="18" t="n"/>
      <c r="H97" s="18" t="n"/>
      <c r="I97" s="18" t="n"/>
      <c r="J97" s="30" t="n"/>
      <c r="K97" s="18" t="n"/>
    </row>
    <row r="98">
      <c r="A98" s="18" t="n"/>
      <c r="B98" s="18" t="n"/>
      <c r="C98" s="18" t="n"/>
      <c r="D98" s="18" t="n"/>
      <c r="E98" s="18" t="n"/>
      <c r="F98" s="18" t="n"/>
      <c r="G98" s="18" t="n"/>
      <c r="H98" s="18" t="n"/>
      <c r="I98" s="18" t="n"/>
      <c r="J98" s="30" t="n"/>
      <c r="K98" s="18" t="n"/>
    </row>
    <row r="99">
      <c r="A99" s="18" t="n"/>
      <c r="B99" s="18" t="n"/>
      <c r="C99" s="18" t="n"/>
      <c r="D99" s="18" t="n"/>
      <c r="E99" s="18" t="n"/>
      <c r="F99" s="18" t="n"/>
      <c r="G99" s="18" t="n"/>
      <c r="H99" s="18" t="n"/>
      <c r="I99" s="18" t="n"/>
      <c r="J99" s="30" t="n"/>
      <c r="K99" s="18" t="n"/>
    </row>
    <row r="100">
      <c r="A100" s="18" t="n"/>
      <c r="B100" s="18" t="n"/>
      <c r="C100" s="18" t="n"/>
      <c r="D100" s="18" t="n"/>
      <c r="E100" s="18" t="n"/>
      <c r="F100" s="18" t="n"/>
      <c r="G100" s="18" t="n"/>
      <c r="H100" s="18" t="n"/>
      <c r="I100" s="18" t="n"/>
      <c r="J100" s="30" t="n"/>
      <c r="K100" s="18" t="n"/>
    </row>
    <row r="101">
      <c r="A101" s="18" t="n"/>
      <c r="B101" s="18" t="n"/>
      <c r="C101" s="18" t="n"/>
      <c r="D101" s="18" t="n"/>
      <c r="E101" s="18" t="n"/>
      <c r="F101" s="18" t="n"/>
      <c r="G101" s="18" t="n"/>
      <c r="H101" s="18" t="n"/>
      <c r="I101" s="18" t="n"/>
      <c r="J101" s="30" t="n"/>
      <c r="K101" s="18" t="n"/>
    </row>
    <row r="102">
      <c r="A102" s="18" t="n"/>
      <c r="B102" s="18" t="n"/>
      <c r="C102" s="18" t="n"/>
      <c r="D102" s="18" t="n"/>
      <c r="E102" s="18" t="n"/>
      <c r="F102" s="18" t="n"/>
      <c r="G102" s="18" t="n"/>
      <c r="H102" s="18" t="n"/>
      <c r="I102" s="18" t="n"/>
      <c r="J102" s="30" t="n"/>
      <c r="K102" s="18" t="n"/>
    </row>
    <row r="103">
      <c r="A103" s="18" t="n"/>
      <c r="B103" s="18" t="n"/>
      <c r="C103" s="18" t="n"/>
      <c r="D103" s="18" t="n"/>
      <c r="E103" s="18" t="n"/>
      <c r="F103" s="18" t="n"/>
      <c r="G103" s="18" t="n"/>
      <c r="H103" s="18" t="n"/>
      <c r="I103" s="18" t="n"/>
      <c r="J103" s="30" t="n"/>
      <c r="K103" s="18" t="n"/>
    </row>
    <row r="104">
      <c r="A104" s="18" t="n"/>
      <c r="B104" s="18" t="n"/>
      <c r="C104" s="18" t="n"/>
      <c r="D104" s="18" t="n"/>
      <c r="E104" s="18" t="n"/>
      <c r="F104" s="18" t="n"/>
      <c r="G104" s="18" t="n"/>
      <c r="H104" s="18" t="n"/>
      <c r="I104" s="18" t="n"/>
      <c r="J104" s="30" t="n"/>
      <c r="K104" s="18" t="n"/>
    </row>
  </sheetData>
  <autoFilter ref="A4:K104"/>
  <mergeCells count="2">
    <mergeCell ref="A2:K2"/>
    <mergeCell ref="A1:K1"/>
  </mergeCells>
  <dataValidations count="5">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"crownseoagency.com,badassbacklinks.com"</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"Dofollow,Nofollow"</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"Guest Post,Outreach,Directory,Niche Edit,HARO/Digital PR,Forum,Social,Other"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1" type="list">
      <formula1>"Partner 1,Partner 2,Partner 3"</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1" type="list">
      <formula1>"Live,Pending,Lost,Rejected"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04"/>
  <sheetViews>
    <sheetView showGridLines="0" workbookViewId="0">
      <pane ySplit="4" topLeftCell="A5" activePane="bottomLeft" state="frozen"/>
      <selection pane="bottomLeft" activeCell="A1" sqref="A1"/>
    </sheetView>
  </sheetViews>
  <sheetFormatPr baseColWidth="8" defaultRowHeight="15"/>
  <cols>
    <col width="18" customWidth="1" min="1" max="1"/>
    <col width="26" customWidth="1" min="2" max="2"/>
    <col width="26" customWidth="1" min="3" max="3"/>
    <col width="10" customWidth="1" min="4" max="4"/>
    <col width="11" customWidth="1" min="5" max="5"/>
    <col width="11" customWidth="1" min="6" max="6"/>
    <col width="12" customWidth="1" min="7" max="7"/>
    <col width="10" customWidth="1" min="8" max="8"/>
    <col width="13" customWidth="1" min="9" max="9"/>
    <col width="12" customWidth="1" min="10" max="10"/>
    <col width="11" customWidth="1" min="12" max="12"/>
    <col width="11" customWidth="1" min="13" max="13"/>
    <col width="11" customWidth="1" min="14" max="14"/>
    <col width="11" customWidth="1" min="15" max="15"/>
    <col width="11" customWidth="1" min="16" max="16"/>
  </cols>
  <sheetData>
    <row r="1" ht="34" customHeight="1">
      <c r="A1" s="1" t="inlineStr">
        <is>
          <t>Keyword Rankings</t>
        </is>
      </c>
    </row>
    <row r="2" ht="20" customHeight="1">
      <c r="A2" s="2" t="inlineStr">
        <is>
          <t>Positive 'Change' = you moved UP. Update positions on the same day each week.</t>
        </is>
      </c>
    </row>
    <row r="4" ht="30" customHeight="1">
      <c r="A4" s="14" t="inlineStr">
        <is>
          <t>Site</t>
        </is>
      </c>
      <c r="B4" s="14" t="inlineStr">
        <is>
          <t>Keyword</t>
        </is>
      </c>
      <c r="C4" s="14" t="inlineStr">
        <is>
          <t>Target URL</t>
        </is>
      </c>
      <c r="D4" s="14" t="inlineStr">
        <is>
          <t>Volume</t>
        </is>
      </c>
      <c r="E4" s="14" t="inlineStr">
        <is>
          <t>Difficulty</t>
        </is>
      </c>
      <c r="F4" s="14" t="inlineStr">
        <is>
          <t>Start Pos.</t>
        </is>
      </c>
      <c r="G4" s="14" t="inlineStr">
        <is>
          <t>Current Pos.</t>
        </is>
      </c>
      <c r="H4" s="14" t="inlineStr">
        <is>
          <t>Change</t>
        </is>
      </c>
      <c r="I4" s="14" t="inlineStr">
        <is>
          <t>Date Checked</t>
        </is>
      </c>
      <c r="J4" s="14" t="inlineStr">
        <is>
          <t>Owner</t>
        </is>
      </c>
      <c r="L4" s="3" t="inlineStr">
        <is>
          <t>RANKING SUMMARY</t>
        </is>
      </c>
    </row>
    <row r="5">
      <c r="A5" s="18" t="inlineStr">
        <is>
          <t>crownseoagency.com</t>
        </is>
      </c>
      <c r="B5" s="18" t="inlineStr">
        <is>
          <t>local seo agency</t>
        </is>
      </c>
      <c r="C5" s="18" t="inlineStr">
        <is>
          <t>/</t>
        </is>
      </c>
      <c r="D5" s="18" t="n">
        <v>1300</v>
      </c>
      <c r="E5" s="18" t="n">
        <v>45</v>
      </c>
      <c r="F5" s="18" t="n">
        <v>28</v>
      </c>
      <c r="G5" s="18" t="n">
        <v>14</v>
      </c>
      <c r="H5" s="17">
        <f>IF(AND(ISNUMBER(F5),ISNUMBER(G5)),F5-G5,"")</f>
        <v/>
      </c>
      <c r="I5" s="18" t="inlineStr">
        <is>
          <t>2026-08-14</t>
        </is>
      </c>
      <c r="J5" s="18" t="inlineStr">
        <is>
          <t>Partner 1</t>
        </is>
      </c>
      <c r="L5" s="14" t="inlineStr">
        <is>
          <t>Site</t>
        </is>
      </c>
      <c r="M5" s="14" t="inlineStr">
        <is>
          <t>Tracked</t>
        </is>
      </c>
      <c r="N5" s="14" t="inlineStr">
        <is>
          <t>Top 10</t>
        </is>
      </c>
      <c r="O5" s="14" t="inlineStr">
        <is>
          <t>Top 3</t>
        </is>
      </c>
      <c r="P5" s="14" t="inlineStr">
        <is>
          <t>Avg Pos.</t>
        </is>
      </c>
    </row>
    <row r="6">
      <c r="A6" s="18" t="inlineStr">
        <is>
          <t>badassbacklinks.com</t>
        </is>
      </c>
      <c r="B6" s="18" t="inlineStr">
        <is>
          <t>buy backlinks</t>
        </is>
      </c>
      <c r="C6" s="18" t="inlineStr">
        <is>
          <t>/services</t>
        </is>
      </c>
      <c r="D6" s="18" t="n">
        <v>2400</v>
      </c>
      <c r="E6" s="18" t="n">
        <v>68</v>
      </c>
      <c r="F6" s="18" t="n">
        <v>55</v>
      </c>
      <c r="G6" s="18" t="n">
        <v>39</v>
      </c>
      <c r="H6" s="17">
        <f>IF(AND(ISNUMBER(F6),ISNUMBER(G6)),F6-G6,"")</f>
        <v/>
      </c>
      <c r="I6" s="18" t="inlineStr">
        <is>
          <t>2026-08-14</t>
        </is>
      </c>
      <c r="J6" s="18" t="inlineStr">
        <is>
          <t>Partner 2</t>
        </is>
      </c>
      <c r="L6" s="21" t="inlineStr">
        <is>
          <t>crownseoagency.com</t>
        </is>
      </c>
      <c r="M6" s="22">
        <f>COUNTIFS($A$5:$A$104,L6,$G$5:$G$104,"&gt;0")</f>
        <v/>
      </c>
      <c r="N6" s="22">
        <f>COUNTIFS($A$5:$A$104,L6,$G$5:$G$104,"&lt;=10",$G$5:$G$104,"&gt;0")</f>
        <v/>
      </c>
      <c r="O6" s="22">
        <f>COUNTIFS($A$5:$A$104,L6,$G$5:$G$104,"&lt;=3",$G$5:$G$104,"&gt;0")</f>
        <v/>
      </c>
      <c r="P6" s="26">
        <f>IFERROR(AVERAGEIFS($G$5:$G$104,$A$5:$A$104,L6,$G$5:$G$104,"&gt;0"),"")</f>
        <v/>
      </c>
    </row>
    <row r="7">
      <c r="A7" s="18" t="inlineStr">
        <is>
          <t>crownseoagency.com</t>
        </is>
      </c>
      <c r="B7" s="18" t="inlineStr">
        <is>
          <t>small business seo</t>
        </is>
      </c>
      <c r="C7" s="18" t="inlineStr">
        <is>
          <t>/blog/local-seo</t>
        </is>
      </c>
      <c r="D7" s="18" t="n">
        <v>880</v>
      </c>
      <c r="E7" s="18" t="n">
        <v>38</v>
      </c>
      <c r="F7" s="18" t="n">
        <v>40</v>
      </c>
      <c r="G7" s="18" t="n">
        <v>22</v>
      </c>
      <c r="H7" s="17">
        <f>IF(AND(ISNUMBER(F7),ISNUMBER(G7)),F7-G7,"")</f>
        <v/>
      </c>
      <c r="I7" s="18" t="inlineStr">
        <is>
          <t>2026-08-14</t>
        </is>
      </c>
      <c r="J7" s="18" t="inlineStr">
        <is>
          <t>Partner 3</t>
        </is>
      </c>
      <c r="L7" s="21" t="inlineStr">
        <is>
          <t>badassbacklinks.com</t>
        </is>
      </c>
      <c r="M7" s="22">
        <f>COUNTIFS($A$5:$A$104,L7,$G$5:$G$104,"&gt;0")</f>
        <v/>
      </c>
      <c r="N7" s="22">
        <f>COUNTIFS($A$5:$A$104,L7,$G$5:$G$104,"&lt;=10",$G$5:$G$104,"&gt;0")</f>
        <v/>
      </c>
      <c r="O7" s="22">
        <f>COUNTIFS($A$5:$A$104,L7,$G$5:$G$104,"&lt;=3",$G$5:$G$104,"&gt;0")</f>
        <v/>
      </c>
      <c r="P7" s="26">
        <f>IFERROR(AVERAGEIFS($G$5:$G$104,$A$5:$A$104,L7,$G$5:$G$104,"&gt;0"),"")</f>
        <v/>
      </c>
    </row>
    <row r="8">
      <c r="A8" s="18" t="n"/>
      <c r="B8" s="18" t="n"/>
      <c r="C8" s="18" t="n"/>
      <c r="D8" s="18" t="n"/>
      <c r="E8" s="18" t="n"/>
      <c r="F8" s="18" t="n"/>
      <c r="G8" s="18" t="n"/>
      <c r="H8" s="17">
        <f>IF(AND(ISNUMBER(F8),ISNUMBER(G8)),F8-G8,"")</f>
        <v/>
      </c>
      <c r="I8" s="18" t="n"/>
      <c r="J8" s="18" t="n"/>
    </row>
    <row r="9">
      <c r="A9" s="18" t="n"/>
      <c r="B9" s="18" t="n"/>
      <c r="C9" s="18" t="n"/>
      <c r="D9" s="18" t="n"/>
      <c r="E9" s="18" t="n"/>
      <c r="F9" s="18" t="n"/>
      <c r="G9" s="18" t="n"/>
      <c r="H9" s="17">
        <f>IF(AND(ISNUMBER(F9),ISNUMBER(G9)),F9-G9,"")</f>
        <v/>
      </c>
      <c r="I9" s="18" t="n"/>
      <c r="J9" s="18" t="n"/>
    </row>
    <row r="10">
      <c r="A10" s="18" t="n"/>
      <c r="B10" s="18" t="n"/>
      <c r="C10" s="18" t="n"/>
      <c r="D10" s="18" t="n"/>
      <c r="E10" s="18" t="n"/>
      <c r="F10" s="18" t="n"/>
      <c r="G10" s="18" t="n"/>
      <c r="H10" s="17">
        <f>IF(AND(ISNUMBER(F10),ISNUMBER(G10)),F10-G10,"")</f>
        <v/>
      </c>
      <c r="I10" s="18" t="n"/>
      <c r="J10" s="18" t="n"/>
    </row>
    <row r="11">
      <c r="A11" s="18" t="n"/>
      <c r="B11" s="18" t="n"/>
      <c r="C11" s="18" t="n"/>
      <c r="D11" s="18" t="n"/>
      <c r="E11" s="18" t="n"/>
      <c r="F11" s="18" t="n"/>
      <c r="G11" s="18" t="n"/>
      <c r="H11" s="17">
        <f>IF(AND(ISNUMBER(F11),ISNUMBER(G11)),F11-G11,"")</f>
        <v/>
      </c>
      <c r="I11" s="18" t="n"/>
      <c r="J11" s="18" t="n"/>
    </row>
    <row r="12">
      <c r="A12" s="18" t="n"/>
      <c r="B12" s="18" t="n"/>
      <c r="C12" s="18" t="n"/>
      <c r="D12" s="18" t="n"/>
      <c r="E12" s="18" t="n"/>
      <c r="F12" s="18" t="n"/>
      <c r="G12" s="18" t="n"/>
      <c r="H12" s="17">
        <f>IF(AND(ISNUMBER(F12),ISNUMBER(G12)),F12-G12,"")</f>
        <v/>
      </c>
      <c r="I12" s="18" t="n"/>
      <c r="J12" s="18" t="n"/>
    </row>
    <row r="13">
      <c r="A13" s="18" t="n"/>
      <c r="B13" s="18" t="n"/>
      <c r="C13" s="18" t="n"/>
      <c r="D13" s="18" t="n"/>
      <c r="E13" s="18" t="n"/>
      <c r="F13" s="18" t="n"/>
      <c r="G13" s="18" t="n"/>
      <c r="H13" s="17">
        <f>IF(AND(ISNUMBER(F13),ISNUMBER(G13)),F13-G13,"")</f>
        <v/>
      </c>
      <c r="I13" s="18" t="n"/>
      <c r="J13" s="18" t="n"/>
    </row>
    <row r="14">
      <c r="A14" s="18" t="n"/>
      <c r="B14" s="18" t="n"/>
      <c r="C14" s="18" t="n"/>
      <c r="D14" s="18" t="n"/>
      <c r="E14" s="18" t="n"/>
      <c r="F14" s="18" t="n"/>
      <c r="G14" s="18" t="n"/>
      <c r="H14" s="17">
        <f>IF(AND(ISNUMBER(F14),ISNUMBER(G14)),F14-G14,"")</f>
        <v/>
      </c>
      <c r="I14" s="18" t="n"/>
      <c r="J14" s="18" t="n"/>
    </row>
    <row r="15">
      <c r="A15" s="18" t="n"/>
      <c r="B15" s="18" t="n"/>
      <c r="C15" s="18" t="n"/>
      <c r="D15" s="18" t="n"/>
      <c r="E15" s="18" t="n"/>
      <c r="F15" s="18" t="n"/>
      <c r="G15" s="18" t="n"/>
      <c r="H15" s="17">
        <f>IF(AND(ISNUMBER(F15),ISNUMBER(G15)),F15-G15,"")</f>
        <v/>
      </c>
      <c r="I15" s="18" t="n"/>
      <c r="J15" s="18" t="n"/>
    </row>
    <row r="16">
      <c r="A16" s="18" t="n"/>
      <c r="B16" s="18" t="n"/>
      <c r="C16" s="18" t="n"/>
      <c r="D16" s="18" t="n"/>
      <c r="E16" s="18" t="n"/>
      <c r="F16" s="18" t="n"/>
      <c r="G16" s="18" t="n"/>
      <c r="H16" s="17">
        <f>IF(AND(ISNUMBER(F16),ISNUMBER(G16)),F16-G16,"")</f>
        <v/>
      </c>
      <c r="I16" s="18" t="n"/>
      <c r="J16" s="18" t="n"/>
    </row>
    <row r="17">
      <c r="A17" s="18" t="n"/>
      <c r="B17" s="18" t="n"/>
      <c r="C17" s="18" t="n"/>
      <c r="D17" s="18" t="n"/>
      <c r="E17" s="18" t="n"/>
      <c r="F17" s="18" t="n"/>
      <c r="G17" s="18" t="n"/>
      <c r="H17" s="17">
        <f>IF(AND(ISNUMBER(F17),ISNUMBER(G17)),F17-G17,"")</f>
        <v/>
      </c>
      <c r="I17" s="18" t="n"/>
      <c r="J17" s="18" t="n"/>
    </row>
    <row r="18">
      <c r="A18" s="18" t="n"/>
      <c r="B18" s="18" t="n"/>
      <c r="C18" s="18" t="n"/>
      <c r="D18" s="18" t="n"/>
      <c r="E18" s="18" t="n"/>
      <c r="F18" s="18" t="n"/>
      <c r="G18" s="18" t="n"/>
      <c r="H18" s="17">
        <f>IF(AND(ISNUMBER(F18),ISNUMBER(G18)),F18-G18,"")</f>
        <v/>
      </c>
      <c r="I18" s="18" t="n"/>
      <c r="J18" s="18" t="n"/>
    </row>
    <row r="19">
      <c r="A19" s="18" t="n"/>
      <c r="B19" s="18" t="n"/>
      <c r="C19" s="18" t="n"/>
      <c r="D19" s="18" t="n"/>
      <c r="E19" s="18" t="n"/>
      <c r="F19" s="18" t="n"/>
      <c r="G19" s="18" t="n"/>
      <c r="H19" s="17">
        <f>IF(AND(ISNUMBER(F19),ISNUMBER(G19)),F19-G19,"")</f>
        <v/>
      </c>
      <c r="I19" s="18" t="n"/>
      <c r="J19" s="18" t="n"/>
    </row>
    <row r="20">
      <c r="A20" s="18" t="n"/>
      <c r="B20" s="18" t="n"/>
      <c r="C20" s="18" t="n"/>
      <c r="D20" s="18" t="n"/>
      <c r="E20" s="18" t="n"/>
      <c r="F20" s="18" t="n"/>
      <c r="G20" s="18" t="n"/>
      <c r="H20" s="17">
        <f>IF(AND(ISNUMBER(F20),ISNUMBER(G20)),F20-G20,"")</f>
        <v/>
      </c>
      <c r="I20" s="18" t="n"/>
      <c r="J20" s="18" t="n"/>
    </row>
    <row r="21">
      <c r="A21" s="18" t="n"/>
      <c r="B21" s="18" t="n"/>
      <c r="C21" s="18" t="n"/>
      <c r="D21" s="18" t="n"/>
      <c r="E21" s="18" t="n"/>
      <c r="F21" s="18" t="n"/>
      <c r="G21" s="18" t="n"/>
      <c r="H21" s="17">
        <f>IF(AND(ISNUMBER(F21),ISNUMBER(G21)),F21-G21,"")</f>
        <v/>
      </c>
      <c r="I21" s="18" t="n"/>
      <c r="J21" s="18" t="n"/>
    </row>
    <row r="22">
      <c r="A22" s="18" t="n"/>
      <c r="B22" s="18" t="n"/>
      <c r="C22" s="18" t="n"/>
      <c r="D22" s="18" t="n"/>
      <c r="E22" s="18" t="n"/>
      <c r="F22" s="18" t="n"/>
      <c r="G22" s="18" t="n"/>
      <c r="H22" s="17">
        <f>IF(AND(ISNUMBER(F22),ISNUMBER(G22)),F22-G22,"")</f>
        <v/>
      </c>
      <c r="I22" s="18" t="n"/>
      <c r="J22" s="18" t="n"/>
    </row>
    <row r="23">
      <c r="A23" s="18" t="n"/>
      <c r="B23" s="18" t="n"/>
      <c r="C23" s="18" t="n"/>
      <c r="D23" s="18" t="n"/>
      <c r="E23" s="18" t="n"/>
      <c r="F23" s="18" t="n"/>
      <c r="G23" s="18" t="n"/>
      <c r="H23" s="17">
        <f>IF(AND(ISNUMBER(F23),ISNUMBER(G23)),F23-G23,"")</f>
        <v/>
      </c>
      <c r="I23" s="18" t="n"/>
      <c r="J23" s="18" t="n"/>
    </row>
    <row r="24">
      <c r="A24" s="18" t="n"/>
      <c r="B24" s="18" t="n"/>
      <c r="C24" s="18" t="n"/>
      <c r="D24" s="18" t="n"/>
      <c r="E24" s="18" t="n"/>
      <c r="F24" s="18" t="n"/>
      <c r="G24" s="18" t="n"/>
      <c r="H24" s="17">
        <f>IF(AND(ISNUMBER(F24),ISNUMBER(G24)),F24-G24,"")</f>
        <v/>
      </c>
      <c r="I24" s="18" t="n"/>
      <c r="J24" s="18" t="n"/>
    </row>
    <row r="25">
      <c r="A25" s="18" t="n"/>
      <c r="B25" s="18" t="n"/>
      <c r="C25" s="18" t="n"/>
      <c r="D25" s="18" t="n"/>
      <c r="E25" s="18" t="n"/>
      <c r="F25" s="18" t="n"/>
      <c r="G25" s="18" t="n"/>
      <c r="H25" s="17">
        <f>IF(AND(ISNUMBER(F25),ISNUMBER(G25)),F25-G25,"")</f>
        <v/>
      </c>
      <c r="I25" s="18" t="n"/>
      <c r="J25" s="18" t="n"/>
    </row>
    <row r="26">
      <c r="A26" s="18" t="n"/>
      <c r="B26" s="18" t="n"/>
      <c r="C26" s="18" t="n"/>
      <c r="D26" s="18" t="n"/>
      <c r="E26" s="18" t="n"/>
      <c r="F26" s="18" t="n"/>
      <c r="G26" s="18" t="n"/>
      <c r="H26" s="17">
        <f>IF(AND(ISNUMBER(F26),ISNUMBER(G26)),F26-G26,"")</f>
        <v/>
      </c>
      <c r="I26" s="18" t="n"/>
      <c r="J26" s="18" t="n"/>
    </row>
    <row r="27">
      <c r="A27" s="18" t="n"/>
      <c r="B27" s="18" t="n"/>
      <c r="C27" s="18" t="n"/>
      <c r="D27" s="18" t="n"/>
      <c r="E27" s="18" t="n"/>
      <c r="F27" s="18" t="n"/>
      <c r="G27" s="18" t="n"/>
      <c r="H27" s="17">
        <f>IF(AND(ISNUMBER(F27),ISNUMBER(G27)),F27-G27,"")</f>
        <v/>
      </c>
      <c r="I27" s="18" t="n"/>
      <c r="J27" s="18" t="n"/>
    </row>
    <row r="28">
      <c r="A28" s="18" t="n"/>
      <c r="B28" s="18" t="n"/>
      <c r="C28" s="18" t="n"/>
      <c r="D28" s="18" t="n"/>
      <c r="E28" s="18" t="n"/>
      <c r="F28" s="18" t="n"/>
      <c r="G28" s="18" t="n"/>
      <c r="H28" s="17">
        <f>IF(AND(ISNUMBER(F28),ISNUMBER(G28)),F28-G28,"")</f>
        <v/>
      </c>
      <c r="I28" s="18" t="n"/>
      <c r="J28" s="18" t="n"/>
    </row>
    <row r="29">
      <c r="A29" s="18" t="n"/>
      <c r="B29" s="18" t="n"/>
      <c r="C29" s="18" t="n"/>
      <c r="D29" s="18" t="n"/>
      <c r="E29" s="18" t="n"/>
      <c r="F29" s="18" t="n"/>
      <c r="G29" s="18" t="n"/>
      <c r="H29" s="17">
        <f>IF(AND(ISNUMBER(F29),ISNUMBER(G29)),F29-G29,"")</f>
        <v/>
      </c>
      <c r="I29" s="18" t="n"/>
      <c r="J29" s="18" t="n"/>
    </row>
    <row r="30">
      <c r="A30" s="18" t="n"/>
      <c r="B30" s="18" t="n"/>
      <c r="C30" s="18" t="n"/>
      <c r="D30" s="18" t="n"/>
      <c r="E30" s="18" t="n"/>
      <c r="F30" s="18" t="n"/>
      <c r="G30" s="18" t="n"/>
      <c r="H30" s="17">
        <f>IF(AND(ISNUMBER(F30),ISNUMBER(G30)),F30-G30,"")</f>
        <v/>
      </c>
      <c r="I30" s="18" t="n"/>
      <c r="J30" s="18" t="n"/>
    </row>
    <row r="31">
      <c r="A31" s="18" t="n"/>
      <c r="B31" s="18" t="n"/>
      <c r="C31" s="18" t="n"/>
      <c r="D31" s="18" t="n"/>
      <c r="E31" s="18" t="n"/>
      <c r="F31" s="18" t="n"/>
      <c r="G31" s="18" t="n"/>
      <c r="H31" s="17">
        <f>IF(AND(ISNUMBER(F31),ISNUMBER(G31)),F31-G31,"")</f>
        <v/>
      </c>
      <c r="I31" s="18" t="n"/>
      <c r="J31" s="18" t="n"/>
    </row>
    <row r="32">
      <c r="A32" s="18" t="n"/>
      <c r="B32" s="18" t="n"/>
      <c r="C32" s="18" t="n"/>
      <c r="D32" s="18" t="n"/>
      <c r="E32" s="18" t="n"/>
      <c r="F32" s="18" t="n"/>
      <c r="G32" s="18" t="n"/>
      <c r="H32" s="17">
        <f>IF(AND(ISNUMBER(F32),ISNUMBER(G32)),F32-G32,"")</f>
        <v/>
      </c>
      <c r="I32" s="18" t="n"/>
      <c r="J32" s="18" t="n"/>
    </row>
    <row r="33">
      <c r="A33" s="18" t="n"/>
      <c r="B33" s="18" t="n"/>
      <c r="C33" s="18" t="n"/>
      <c r="D33" s="18" t="n"/>
      <c r="E33" s="18" t="n"/>
      <c r="F33" s="18" t="n"/>
      <c r="G33" s="18" t="n"/>
      <c r="H33" s="17">
        <f>IF(AND(ISNUMBER(F33),ISNUMBER(G33)),F33-G33,"")</f>
        <v/>
      </c>
      <c r="I33" s="18" t="n"/>
      <c r="J33" s="18" t="n"/>
    </row>
    <row r="34">
      <c r="A34" s="18" t="n"/>
      <c r="B34" s="18" t="n"/>
      <c r="C34" s="18" t="n"/>
      <c r="D34" s="18" t="n"/>
      <c r="E34" s="18" t="n"/>
      <c r="F34" s="18" t="n"/>
      <c r="G34" s="18" t="n"/>
      <c r="H34" s="17">
        <f>IF(AND(ISNUMBER(F34),ISNUMBER(G34)),F34-G34,"")</f>
        <v/>
      </c>
      <c r="I34" s="18" t="n"/>
      <c r="J34" s="18" t="n"/>
    </row>
    <row r="35">
      <c r="A35" s="18" t="n"/>
      <c r="B35" s="18" t="n"/>
      <c r="C35" s="18" t="n"/>
      <c r="D35" s="18" t="n"/>
      <c r="E35" s="18" t="n"/>
      <c r="F35" s="18" t="n"/>
      <c r="G35" s="18" t="n"/>
      <c r="H35" s="17">
        <f>IF(AND(ISNUMBER(F35),ISNUMBER(G35)),F35-G35,"")</f>
        <v/>
      </c>
      <c r="I35" s="18" t="n"/>
      <c r="J35" s="18" t="n"/>
    </row>
    <row r="36">
      <c r="A36" s="18" t="n"/>
      <c r="B36" s="18" t="n"/>
      <c r="C36" s="18" t="n"/>
      <c r="D36" s="18" t="n"/>
      <c r="E36" s="18" t="n"/>
      <c r="F36" s="18" t="n"/>
      <c r="G36" s="18" t="n"/>
      <c r="H36" s="17">
        <f>IF(AND(ISNUMBER(F36),ISNUMBER(G36)),F36-G36,"")</f>
        <v/>
      </c>
      <c r="I36" s="18" t="n"/>
      <c r="J36" s="18" t="n"/>
    </row>
    <row r="37">
      <c r="A37" s="18" t="n"/>
      <c r="B37" s="18" t="n"/>
      <c r="C37" s="18" t="n"/>
      <c r="D37" s="18" t="n"/>
      <c r="E37" s="18" t="n"/>
      <c r="F37" s="18" t="n"/>
      <c r="G37" s="18" t="n"/>
      <c r="H37" s="17">
        <f>IF(AND(ISNUMBER(F37),ISNUMBER(G37)),F37-G37,"")</f>
        <v/>
      </c>
      <c r="I37" s="18" t="n"/>
      <c r="J37" s="18" t="n"/>
    </row>
    <row r="38">
      <c r="A38" s="18" t="n"/>
      <c r="B38" s="18" t="n"/>
      <c r="C38" s="18" t="n"/>
      <c r="D38" s="18" t="n"/>
      <c r="E38" s="18" t="n"/>
      <c r="F38" s="18" t="n"/>
      <c r="G38" s="18" t="n"/>
      <c r="H38" s="17">
        <f>IF(AND(ISNUMBER(F38),ISNUMBER(G38)),F38-G38,"")</f>
        <v/>
      </c>
      <c r="I38" s="18" t="n"/>
      <c r="J38" s="18" t="n"/>
    </row>
    <row r="39">
      <c r="A39" s="18" t="n"/>
      <c r="B39" s="18" t="n"/>
      <c r="C39" s="18" t="n"/>
      <c r="D39" s="18" t="n"/>
      <c r="E39" s="18" t="n"/>
      <c r="F39" s="18" t="n"/>
      <c r="G39" s="18" t="n"/>
      <c r="H39" s="17">
        <f>IF(AND(ISNUMBER(F39),ISNUMBER(G39)),F39-G39,"")</f>
        <v/>
      </c>
      <c r="I39" s="18" t="n"/>
      <c r="J39" s="18" t="n"/>
    </row>
    <row r="40">
      <c r="A40" s="18" t="n"/>
      <c r="B40" s="18" t="n"/>
      <c r="C40" s="18" t="n"/>
      <c r="D40" s="18" t="n"/>
      <c r="E40" s="18" t="n"/>
      <c r="F40" s="18" t="n"/>
      <c r="G40" s="18" t="n"/>
      <c r="H40" s="17">
        <f>IF(AND(ISNUMBER(F40),ISNUMBER(G40)),F40-G40,"")</f>
        <v/>
      </c>
      <c r="I40" s="18" t="n"/>
      <c r="J40" s="18" t="n"/>
    </row>
    <row r="41">
      <c r="A41" s="18" t="n"/>
      <c r="B41" s="18" t="n"/>
      <c r="C41" s="18" t="n"/>
      <c r="D41" s="18" t="n"/>
      <c r="E41" s="18" t="n"/>
      <c r="F41" s="18" t="n"/>
      <c r="G41" s="18" t="n"/>
      <c r="H41" s="17">
        <f>IF(AND(ISNUMBER(F41),ISNUMBER(G41)),F41-G41,"")</f>
        <v/>
      </c>
      <c r="I41" s="18" t="n"/>
      <c r="J41" s="18" t="n"/>
    </row>
    <row r="42">
      <c r="A42" s="18" t="n"/>
      <c r="B42" s="18" t="n"/>
      <c r="C42" s="18" t="n"/>
      <c r="D42" s="18" t="n"/>
      <c r="E42" s="18" t="n"/>
      <c r="F42" s="18" t="n"/>
      <c r="G42" s="18" t="n"/>
      <c r="H42" s="17">
        <f>IF(AND(ISNUMBER(F42),ISNUMBER(G42)),F42-G42,"")</f>
        <v/>
      </c>
      <c r="I42" s="18" t="n"/>
      <c r="J42" s="18" t="n"/>
    </row>
    <row r="43">
      <c r="A43" s="18" t="n"/>
      <c r="B43" s="18" t="n"/>
      <c r="C43" s="18" t="n"/>
      <c r="D43" s="18" t="n"/>
      <c r="E43" s="18" t="n"/>
      <c r="F43" s="18" t="n"/>
      <c r="G43" s="18" t="n"/>
      <c r="H43" s="17">
        <f>IF(AND(ISNUMBER(F43),ISNUMBER(G43)),F43-G43,"")</f>
        <v/>
      </c>
      <c r="I43" s="18" t="n"/>
      <c r="J43" s="18" t="n"/>
    </row>
    <row r="44">
      <c r="A44" s="18" t="n"/>
      <c r="B44" s="18" t="n"/>
      <c r="C44" s="18" t="n"/>
      <c r="D44" s="18" t="n"/>
      <c r="E44" s="18" t="n"/>
      <c r="F44" s="18" t="n"/>
      <c r="G44" s="18" t="n"/>
      <c r="H44" s="17">
        <f>IF(AND(ISNUMBER(F44),ISNUMBER(G44)),F44-G44,"")</f>
        <v/>
      </c>
      <c r="I44" s="18" t="n"/>
      <c r="J44" s="18" t="n"/>
    </row>
    <row r="45">
      <c r="A45" s="18" t="n"/>
      <c r="B45" s="18" t="n"/>
      <c r="C45" s="18" t="n"/>
      <c r="D45" s="18" t="n"/>
      <c r="E45" s="18" t="n"/>
      <c r="F45" s="18" t="n"/>
      <c r="G45" s="18" t="n"/>
      <c r="H45" s="17">
        <f>IF(AND(ISNUMBER(F45),ISNUMBER(G45)),F45-G45,"")</f>
        <v/>
      </c>
      <c r="I45" s="18" t="n"/>
      <c r="J45" s="18" t="n"/>
    </row>
    <row r="46">
      <c r="A46" s="18" t="n"/>
      <c r="B46" s="18" t="n"/>
      <c r="C46" s="18" t="n"/>
      <c r="D46" s="18" t="n"/>
      <c r="E46" s="18" t="n"/>
      <c r="F46" s="18" t="n"/>
      <c r="G46" s="18" t="n"/>
      <c r="H46" s="17">
        <f>IF(AND(ISNUMBER(F46),ISNUMBER(G46)),F46-G46,"")</f>
        <v/>
      </c>
      <c r="I46" s="18" t="n"/>
      <c r="J46" s="18" t="n"/>
    </row>
    <row r="47">
      <c r="A47" s="18" t="n"/>
      <c r="B47" s="18" t="n"/>
      <c r="C47" s="18" t="n"/>
      <c r="D47" s="18" t="n"/>
      <c r="E47" s="18" t="n"/>
      <c r="F47" s="18" t="n"/>
      <c r="G47" s="18" t="n"/>
      <c r="H47" s="17">
        <f>IF(AND(ISNUMBER(F47),ISNUMBER(G47)),F47-G47,"")</f>
        <v/>
      </c>
      <c r="I47" s="18" t="n"/>
      <c r="J47" s="18" t="n"/>
    </row>
    <row r="48">
      <c r="A48" s="18" t="n"/>
      <c r="B48" s="18" t="n"/>
      <c r="C48" s="18" t="n"/>
      <c r="D48" s="18" t="n"/>
      <c r="E48" s="18" t="n"/>
      <c r="F48" s="18" t="n"/>
      <c r="G48" s="18" t="n"/>
      <c r="H48" s="17">
        <f>IF(AND(ISNUMBER(F48),ISNUMBER(G48)),F48-G48,"")</f>
        <v/>
      </c>
      <c r="I48" s="18" t="n"/>
      <c r="J48" s="18" t="n"/>
    </row>
    <row r="49">
      <c r="A49" s="18" t="n"/>
      <c r="B49" s="18" t="n"/>
      <c r="C49" s="18" t="n"/>
      <c r="D49" s="18" t="n"/>
      <c r="E49" s="18" t="n"/>
      <c r="F49" s="18" t="n"/>
      <c r="G49" s="18" t="n"/>
      <c r="H49" s="17">
        <f>IF(AND(ISNUMBER(F49),ISNUMBER(G49)),F49-G49,"")</f>
        <v/>
      </c>
      <c r="I49" s="18" t="n"/>
      <c r="J49" s="18" t="n"/>
    </row>
    <row r="50">
      <c r="A50" s="18" t="n"/>
      <c r="B50" s="18" t="n"/>
      <c r="C50" s="18" t="n"/>
      <c r="D50" s="18" t="n"/>
      <c r="E50" s="18" t="n"/>
      <c r="F50" s="18" t="n"/>
      <c r="G50" s="18" t="n"/>
      <c r="H50" s="17">
        <f>IF(AND(ISNUMBER(F50),ISNUMBER(G50)),F50-G50,"")</f>
        <v/>
      </c>
      <c r="I50" s="18" t="n"/>
      <c r="J50" s="18" t="n"/>
    </row>
    <row r="51">
      <c r="A51" s="18" t="n"/>
      <c r="B51" s="18" t="n"/>
      <c r="C51" s="18" t="n"/>
      <c r="D51" s="18" t="n"/>
      <c r="E51" s="18" t="n"/>
      <c r="F51" s="18" t="n"/>
      <c r="G51" s="18" t="n"/>
      <c r="H51" s="17">
        <f>IF(AND(ISNUMBER(F51),ISNUMBER(G51)),F51-G51,"")</f>
        <v/>
      </c>
      <c r="I51" s="18" t="n"/>
      <c r="J51" s="18" t="n"/>
    </row>
    <row r="52">
      <c r="A52" s="18" t="n"/>
      <c r="B52" s="18" t="n"/>
      <c r="C52" s="18" t="n"/>
      <c r="D52" s="18" t="n"/>
      <c r="E52" s="18" t="n"/>
      <c r="F52" s="18" t="n"/>
      <c r="G52" s="18" t="n"/>
      <c r="H52" s="17">
        <f>IF(AND(ISNUMBER(F52),ISNUMBER(G52)),F52-G52,"")</f>
        <v/>
      </c>
      <c r="I52" s="18" t="n"/>
      <c r="J52" s="18" t="n"/>
    </row>
    <row r="53">
      <c r="A53" s="18" t="n"/>
      <c r="B53" s="18" t="n"/>
      <c r="C53" s="18" t="n"/>
      <c r="D53" s="18" t="n"/>
      <c r="E53" s="18" t="n"/>
      <c r="F53" s="18" t="n"/>
      <c r="G53" s="18" t="n"/>
      <c r="H53" s="17">
        <f>IF(AND(ISNUMBER(F53),ISNUMBER(G53)),F53-G53,"")</f>
        <v/>
      </c>
      <c r="I53" s="18" t="n"/>
      <c r="J53" s="18" t="n"/>
    </row>
    <row r="54">
      <c r="A54" s="18" t="n"/>
      <c r="B54" s="18" t="n"/>
      <c r="C54" s="18" t="n"/>
      <c r="D54" s="18" t="n"/>
      <c r="E54" s="18" t="n"/>
      <c r="F54" s="18" t="n"/>
      <c r="G54" s="18" t="n"/>
      <c r="H54" s="17">
        <f>IF(AND(ISNUMBER(F54),ISNUMBER(G54)),F54-G54,"")</f>
        <v/>
      </c>
      <c r="I54" s="18" t="n"/>
      <c r="J54" s="18" t="n"/>
    </row>
    <row r="55">
      <c r="A55" s="18" t="n"/>
      <c r="B55" s="18" t="n"/>
      <c r="C55" s="18" t="n"/>
      <c r="D55" s="18" t="n"/>
      <c r="E55" s="18" t="n"/>
      <c r="F55" s="18" t="n"/>
      <c r="G55" s="18" t="n"/>
      <c r="H55" s="17">
        <f>IF(AND(ISNUMBER(F55),ISNUMBER(G55)),F55-G55,"")</f>
        <v/>
      </c>
      <c r="I55" s="18" t="n"/>
      <c r="J55" s="18" t="n"/>
    </row>
    <row r="56">
      <c r="A56" s="18" t="n"/>
      <c r="B56" s="18" t="n"/>
      <c r="C56" s="18" t="n"/>
      <c r="D56" s="18" t="n"/>
      <c r="E56" s="18" t="n"/>
      <c r="F56" s="18" t="n"/>
      <c r="G56" s="18" t="n"/>
      <c r="H56" s="17">
        <f>IF(AND(ISNUMBER(F56),ISNUMBER(G56)),F56-G56,"")</f>
        <v/>
      </c>
      <c r="I56" s="18" t="n"/>
      <c r="J56" s="18" t="n"/>
    </row>
    <row r="57">
      <c r="A57" s="18" t="n"/>
      <c r="B57" s="18" t="n"/>
      <c r="C57" s="18" t="n"/>
      <c r="D57" s="18" t="n"/>
      <c r="E57" s="18" t="n"/>
      <c r="F57" s="18" t="n"/>
      <c r="G57" s="18" t="n"/>
      <c r="H57" s="17">
        <f>IF(AND(ISNUMBER(F57),ISNUMBER(G57)),F57-G57,"")</f>
        <v/>
      </c>
      <c r="I57" s="18" t="n"/>
      <c r="J57" s="18" t="n"/>
    </row>
    <row r="58">
      <c r="A58" s="18" t="n"/>
      <c r="B58" s="18" t="n"/>
      <c r="C58" s="18" t="n"/>
      <c r="D58" s="18" t="n"/>
      <c r="E58" s="18" t="n"/>
      <c r="F58" s="18" t="n"/>
      <c r="G58" s="18" t="n"/>
      <c r="H58" s="17">
        <f>IF(AND(ISNUMBER(F58),ISNUMBER(G58)),F58-G58,"")</f>
        <v/>
      </c>
      <c r="I58" s="18" t="n"/>
      <c r="J58" s="18" t="n"/>
    </row>
    <row r="59">
      <c r="A59" s="18" t="n"/>
      <c r="B59" s="18" t="n"/>
      <c r="C59" s="18" t="n"/>
      <c r="D59" s="18" t="n"/>
      <c r="E59" s="18" t="n"/>
      <c r="F59" s="18" t="n"/>
      <c r="G59" s="18" t="n"/>
      <c r="H59" s="17">
        <f>IF(AND(ISNUMBER(F59),ISNUMBER(G59)),F59-G59,"")</f>
        <v/>
      </c>
      <c r="I59" s="18" t="n"/>
      <c r="J59" s="18" t="n"/>
    </row>
    <row r="60">
      <c r="A60" s="18" t="n"/>
      <c r="B60" s="18" t="n"/>
      <c r="C60" s="18" t="n"/>
      <c r="D60" s="18" t="n"/>
      <c r="E60" s="18" t="n"/>
      <c r="F60" s="18" t="n"/>
      <c r="G60" s="18" t="n"/>
      <c r="H60" s="17">
        <f>IF(AND(ISNUMBER(F60),ISNUMBER(G60)),F60-G60,"")</f>
        <v/>
      </c>
      <c r="I60" s="18" t="n"/>
      <c r="J60" s="18" t="n"/>
    </row>
    <row r="61">
      <c r="A61" s="18" t="n"/>
      <c r="B61" s="18" t="n"/>
      <c r="C61" s="18" t="n"/>
      <c r="D61" s="18" t="n"/>
      <c r="E61" s="18" t="n"/>
      <c r="F61" s="18" t="n"/>
      <c r="G61" s="18" t="n"/>
      <c r="H61" s="17">
        <f>IF(AND(ISNUMBER(F61),ISNUMBER(G61)),F61-G61,"")</f>
        <v/>
      </c>
      <c r="I61" s="18" t="n"/>
      <c r="J61" s="18" t="n"/>
    </row>
    <row r="62">
      <c r="A62" s="18" t="n"/>
      <c r="B62" s="18" t="n"/>
      <c r="C62" s="18" t="n"/>
      <c r="D62" s="18" t="n"/>
      <c r="E62" s="18" t="n"/>
      <c r="F62" s="18" t="n"/>
      <c r="G62" s="18" t="n"/>
      <c r="H62" s="17">
        <f>IF(AND(ISNUMBER(F62),ISNUMBER(G62)),F62-G62,"")</f>
        <v/>
      </c>
      <c r="I62" s="18" t="n"/>
      <c r="J62" s="18" t="n"/>
    </row>
    <row r="63">
      <c r="A63" s="18" t="n"/>
      <c r="B63" s="18" t="n"/>
      <c r="C63" s="18" t="n"/>
      <c r="D63" s="18" t="n"/>
      <c r="E63" s="18" t="n"/>
      <c r="F63" s="18" t="n"/>
      <c r="G63" s="18" t="n"/>
      <c r="H63" s="17">
        <f>IF(AND(ISNUMBER(F63),ISNUMBER(G63)),F63-G63,"")</f>
        <v/>
      </c>
      <c r="I63" s="18" t="n"/>
      <c r="J63" s="18" t="n"/>
    </row>
    <row r="64">
      <c r="A64" s="18" t="n"/>
      <c r="B64" s="18" t="n"/>
      <c r="C64" s="18" t="n"/>
      <c r="D64" s="18" t="n"/>
      <c r="E64" s="18" t="n"/>
      <c r="F64" s="18" t="n"/>
      <c r="G64" s="18" t="n"/>
      <c r="H64" s="17">
        <f>IF(AND(ISNUMBER(F64),ISNUMBER(G64)),F64-G64,"")</f>
        <v/>
      </c>
      <c r="I64" s="18" t="n"/>
      <c r="J64" s="18" t="n"/>
    </row>
    <row r="65">
      <c r="A65" s="18" t="n"/>
      <c r="B65" s="18" t="n"/>
      <c r="C65" s="18" t="n"/>
      <c r="D65" s="18" t="n"/>
      <c r="E65" s="18" t="n"/>
      <c r="F65" s="18" t="n"/>
      <c r="G65" s="18" t="n"/>
      <c r="H65" s="17">
        <f>IF(AND(ISNUMBER(F65),ISNUMBER(G65)),F65-G65,"")</f>
        <v/>
      </c>
      <c r="I65" s="18" t="n"/>
      <c r="J65" s="18" t="n"/>
    </row>
    <row r="66">
      <c r="A66" s="18" t="n"/>
      <c r="B66" s="18" t="n"/>
      <c r="C66" s="18" t="n"/>
      <c r="D66" s="18" t="n"/>
      <c r="E66" s="18" t="n"/>
      <c r="F66" s="18" t="n"/>
      <c r="G66" s="18" t="n"/>
      <c r="H66" s="17">
        <f>IF(AND(ISNUMBER(F66),ISNUMBER(G66)),F66-G66,"")</f>
        <v/>
      </c>
      <c r="I66" s="18" t="n"/>
      <c r="J66" s="18" t="n"/>
    </row>
    <row r="67">
      <c r="A67" s="18" t="n"/>
      <c r="B67" s="18" t="n"/>
      <c r="C67" s="18" t="n"/>
      <c r="D67" s="18" t="n"/>
      <c r="E67" s="18" t="n"/>
      <c r="F67" s="18" t="n"/>
      <c r="G67" s="18" t="n"/>
      <c r="H67" s="17">
        <f>IF(AND(ISNUMBER(F67),ISNUMBER(G67)),F67-G67,"")</f>
        <v/>
      </c>
      <c r="I67" s="18" t="n"/>
      <c r="J67" s="18" t="n"/>
    </row>
    <row r="68">
      <c r="A68" s="18" t="n"/>
      <c r="B68" s="18" t="n"/>
      <c r="C68" s="18" t="n"/>
      <c r="D68" s="18" t="n"/>
      <c r="E68" s="18" t="n"/>
      <c r="F68" s="18" t="n"/>
      <c r="G68" s="18" t="n"/>
      <c r="H68" s="17">
        <f>IF(AND(ISNUMBER(F68),ISNUMBER(G68)),F68-G68,"")</f>
        <v/>
      </c>
      <c r="I68" s="18" t="n"/>
      <c r="J68" s="18" t="n"/>
    </row>
    <row r="69">
      <c r="A69" s="18" t="n"/>
      <c r="B69" s="18" t="n"/>
      <c r="C69" s="18" t="n"/>
      <c r="D69" s="18" t="n"/>
      <c r="E69" s="18" t="n"/>
      <c r="F69" s="18" t="n"/>
      <c r="G69" s="18" t="n"/>
      <c r="H69" s="17">
        <f>IF(AND(ISNUMBER(F69),ISNUMBER(G69)),F69-G69,"")</f>
        <v/>
      </c>
      <c r="I69" s="18" t="n"/>
      <c r="J69" s="18" t="n"/>
    </row>
    <row r="70">
      <c r="A70" s="18" t="n"/>
      <c r="B70" s="18" t="n"/>
      <c r="C70" s="18" t="n"/>
      <c r="D70" s="18" t="n"/>
      <c r="E70" s="18" t="n"/>
      <c r="F70" s="18" t="n"/>
      <c r="G70" s="18" t="n"/>
      <c r="H70" s="17">
        <f>IF(AND(ISNUMBER(F70),ISNUMBER(G70)),F70-G70,"")</f>
        <v/>
      </c>
      <c r="I70" s="18" t="n"/>
      <c r="J70" s="18" t="n"/>
    </row>
    <row r="71">
      <c r="A71" s="18" t="n"/>
      <c r="B71" s="18" t="n"/>
      <c r="C71" s="18" t="n"/>
      <c r="D71" s="18" t="n"/>
      <c r="E71" s="18" t="n"/>
      <c r="F71" s="18" t="n"/>
      <c r="G71" s="18" t="n"/>
      <c r="H71" s="17">
        <f>IF(AND(ISNUMBER(F71),ISNUMBER(G71)),F71-G71,"")</f>
        <v/>
      </c>
      <c r="I71" s="18" t="n"/>
      <c r="J71" s="18" t="n"/>
    </row>
    <row r="72">
      <c r="A72" s="18" t="n"/>
      <c r="B72" s="18" t="n"/>
      <c r="C72" s="18" t="n"/>
      <c r="D72" s="18" t="n"/>
      <c r="E72" s="18" t="n"/>
      <c r="F72" s="18" t="n"/>
      <c r="G72" s="18" t="n"/>
      <c r="H72" s="17">
        <f>IF(AND(ISNUMBER(F72),ISNUMBER(G72)),F72-G72,"")</f>
        <v/>
      </c>
      <c r="I72" s="18" t="n"/>
      <c r="J72" s="18" t="n"/>
    </row>
    <row r="73">
      <c r="A73" s="18" t="n"/>
      <c r="B73" s="18" t="n"/>
      <c r="C73" s="18" t="n"/>
      <c r="D73" s="18" t="n"/>
      <c r="E73" s="18" t="n"/>
      <c r="F73" s="18" t="n"/>
      <c r="G73" s="18" t="n"/>
      <c r="H73" s="17">
        <f>IF(AND(ISNUMBER(F73),ISNUMBER(G73)),F73-G73,"")</f>
        <v/>
      </c>
      <c r="I73" s="18" t="n"/>
      <c r="J73" s="18" t="n"/>
    </row>
    <row r="74">
      <c r="A74" s="18" t="n"/>
      <c r="B74" s="18" t="n"/>
      <c r="C74" s="18" t="n"/>
      <c r="D74" s="18" t="n"/>
      <c r="E74" s="18" t="n"/>
      <c r="F74" s="18" t="n"/>
      <c r="G74" s="18" t="n"/>
      <c r="H74" s="17">
        <f>IF(AND(ISNUMBER(F74),ISNUMBER(G74)),F74-G74,"")</f>
        <v/>
      </c>
      <c r="I74" s="18" t="n"/>
      <c r="J74" s="18" t="n"/>
    </row>
    <row r="75">
      <c r="A75" s="18" t="n"/>
      <c r="B75" s="18" t="n"/>
      <c r="C75" s="18" t="n"/>
      <c r="D75" s="18" t="n"/>
      <c r="E75" s="18" t="n"/>
      <c r="F75" s="18" t="n"/>
      <c r="G75" s="18" t="n"/>
      <c r="H75" s="17">
        <f>IF(AND(ISNUMBER(F75),ISNUMBER(G75)),F75-G75,"")</f>
        <v/>
      </c>
      <c r="I75" s="18" t="n"/>
      <c r="J75" s="18" t="n"/>
    </row>
    <row r="76">
      <c r="A76" s="18" t="n"/>
      <c r="B76" s="18" t="n"/>
      <c r="C76" s="18" t="n"/>
      <c r="D76" s="18" t="n"/>
      <c r="E76" s="18" t="n"/>
      <c r="F76" s="18" t="n"/>
      <c r="G76" s="18" t="n"/>
      <c r="H76" s="17">
        <f>IF(AND(ISNUMBER(F76),ISNUMBER(G76)),F76-G76,"")</f>
        <v/>
      </c>
      <c r="I76" s="18" t="n"/>
      <c r="J76" s="18" t="n"/>
    </row>
    <row r="77">
      <c r="A77" s="18" t="n"/>
      <c r="B77" s="18" t="n"/>
      <c r="C77" s="18" t="n"/>
      <c r="D77" s="18" t="n"/>
      <c r="E77" s="18" t="n"/>
      <c r="F77" s="18" t="n"/>
      <c r="G77" s="18" t="n"/>
      <c r="H77" s="17">
        <f>IF(AND(ISNUMBER(F77),ISNUMBER(G77)),F77-G77,"")</f>
        <v/>
      </c>
      <c r="I77" s="18" t="n"/>
      <c r="J77" s="18" t="n"/>
    </row>
    <row r="78">
      <c r="A78" s="18" t="n"/>
      <c r="B78" s="18" t="n"/>
      <c r="C78" s="18" t="n"/>
      <c r="D78" s="18" t="n"/>
      <c r="E78" s="18" t="n"/>
      <c r="F78" s="18" t="n"/>
      <c r="G78" s="18" t="n"/>
      <c r="H78" s="17">
        <f>IF(AND(ISNUMBER(F78),ISNUMBER(G78)),F78-G78,"")</f>
        <v/>
      </c>
      <c r="I78" s="18" t="n"/>
      <c r="J78" s="18" t="n"/>
    </row>
    <row r="79">
      <c r="A79" s="18" t="n"/>
      <c r="B79" s="18" t="n"/>
      <c r="C79" s="18" t="n"/>
      <c r="D79" s="18" t="n"/>
      <c r="E79" s="18" t="n"/>
      <c r="F79" s="18" t="n"/>
      <c r="G79" s="18" t="n"/>
      <c r="H79" s="17">
        <f>IF(AND(ISNUMBER(F79),ISNUMBER(G79)),F79-G79,"")</f>
        <v/>
      </c>
      <c r="I79" s="18" t="n"/>
      <c r="J79" s="18" t="n"/>
    </row>
    <row r="80">
      <c r="A80" s="18" t="n"/>
      <c r="B80" s="18" t="n"/>
      <c r="C80" s="18" t="n"/>
      <c r="D80" s="18" t="n"/>
      <c r="E80" s="18" t="n"/>
      <c r="F80" s="18" t="n"/>
      <c r="G80" s="18" t="n"/>
      <c r="H80" s="17">
        <f>IF(AND(ISNUMBER(F80),ISNUMBER(G80)),F80-G80,"")</f>
        <v/>
      </c>
      <c r="I80" s="18" t="n"/>
      <c r="J80" s="18" t="n"/>
    </row>
    <row r="81">
      <c r="A81" s="18" t="n"/>
      <c r="B81" s="18" t="n"/>
      <c r="C81" s="18" t="n"/>
      <c r="D81" s="18" t="n"/>
      <c r="E81" s="18" t="n"/>
      <c r="F81" s="18" t="n"/>
      <c r="G81" s="18" t="n"/>
      <c r="H81" s="17">
        <f>IF(AND(ISNUMBER(F81),ISNUMBER(G81)),F81-G81,"")</f>
        <v/>
      </c>
      <c r="I81" s="18" t="n"/>
      <c r="J81" s="18" t="n"/>
    </row>
    <row r="82">
      <c r="A82" s="18" t="n"/>
      <c r="B82" s="18" t="n"/>
      <c r="C82" s="18" t="n"/>
      <c r="D82" s="18" t="n"/>
      <c r="E82" s="18" t="n"/>
      <c r="F82" s="18" t="n"/>
      <c r="G82" s="18" t="n"/>
      <c r="H82" s="17">
        <f>IF(AND(ISNUMBER(F82),ISNUMBER(G82)),F82-G82,"")</f>
        <v/>
      </c>
      <c r="I82" s="18" t="n"/>
      <c r="J82" s="18" t="n"/>
    </row>
    <row r="83">
      <c r="A83" s="18" t="n"/>
      <c r="B83" s="18" t="n"/>
      <c r="C83" s="18" t="n"/>
      <c r="D83" s="18" t="n"/>
      <c r="E83" s="18" t="n"/>
      <c r="F83" s="18" t="n"/>
      <c r="G83" s="18" t="n"/>
      <c r="H83" s="17">
        <f>IF(AND(ISNUMBER(F83),ISNUMBER(G83)),F83-G83,"")</f>
        <v/>
      </c>
      <c r="I83" s="18" t="n"/>
      <c r="J83" s="18" t="n"/>
    </row>
    <row r="84">
      <c r="A84" s="18" t="n"/>
      <c r="B84" s="18" t="n"/>
      <c r="C84" s="18" t="n"/>
      <c r="D84" s="18" t="n"/>
      <c r="E84" s="18" t="n"/>
      <c r="F84" s="18" t="n"/>
      <c r="G84" s="18" t="n"/>
      <c r="H84" s="17">
        <f>IF(AND(ISNUMBER(F84),ISNUMBER(G84)),F84-G84,"")</f>
        <v/>
      </c>
      <c r="I84" s="18" t="n"/>
      <c r="J84" s="18" t="n"/>
    </row>
    <row r="85">
      <c r="A85" s="18" t="n"/>
      <c r="B85" s="18" t="n"/>
      <c r="C85" s="18" t="n"/>
      <c r="D85" s="18" t="n"/>
      <c r="E85" s="18" t="n"/>
      <c r="F85" s="18" t="n"/>
      <c r="G85" s="18" t="n"/>
      <c r="H85" s="17">
        <f>IF(AND(ISNUMBER(F85),ISNUMBER(G85)),F85-G85,"")</f>
        <v/>
      </c>
      <c r="I85" s="18" t="n"/>
      <c r="J85" s="18" t="n"/>
    </row>
    <row r="86">
      <c r="A86" s="18" t="n"/>
      <c r="B86" s="18" t="n"/>
      <c r="C86" s="18" t="n"/>
      <c r="D86" s="18" t="n"/>
      <c r="E86" s="18" t="n"/>
      <c r="F86" s="18" t="n"/>
      <c r="G86" s="18" t="n"/>
      <c r="H86" s="17">
        <f>IF(AND(ISNUMBER(F86),ISNUMBER(G86)),F86-G86,"")</f>
        <v/>
      </c>
      <c r="I86" s="18" t="n"/>
      <c r="J86" s="18" t="n"/>
    </row>
    <row r="87">
      <c r="A87" s="18" t="n"/>
      <c r="B87" s="18" t="n"/>
      <c r="C87" s="18" t="n"/>
      <c r="D87" s="18" t="n"/>
      <c r="E87" s="18" t="n"/>
      <c r="F87" s="18" t="n"/>
      <c r="G87" s="18" t="n"/>
      <c r="H87" s="17">
        <f>IF(AND(ISNUMBER(F87),ISNUMBER(G87)),F87-G87,"")</f>
        <v/>
      </c>
      <c r="I87" s="18" t="n"/>
      <c r="J87" s="18" t="n"/>
    </row>
    <row r="88">
      <c r="A88" s="18" t="n"/>
      <c r="B88" s="18" t="n"/>
      <c r="C88" s="18" t="n"/>
      <c r="D88" s="18" t="n"/>
      <c r="E88" s="18" t="n"/>
      <c r="F88" s="18" t="n"/>
      <c r="G88" s="18" t="n"/>
      <c r="H88" s="17">
        <f>IF(AND(ISNUMBER(F88),ISNUMBER(G88)),F88-G88,"")</f>
        <v/>
      </c>
      <c r="I88" s="18" t="n"/>
      <c r="J88" s="18" t="n"/>
    </row>
    <row r="89">
      <c r="A89" s="18" t="n"/>
      <c r="B89" s="18" t="n"/>
      <c r="C89" s="18" t="n"/>
      <c r="D89" s="18" t="n"/>
      <c r="E89" s="18" t="n"/>
      <c r="F89" s="18" t="n"/>
      <c r="G89" s="18" t="n"/>
      <c r="H89" s="17">
        <f>IF(AND(ISNUMBER(F89),ISNUMBER(G89)),F89-G89,"")</f>
        <v/>
      </c>
      <c r="I89" s="18" t="n"/>
      <c r="J89" s="18" t="n"/>
    </row>
    <row r="90">
      <c r="A90" s="18" t="n"/>
      <c r="B90" s="18" t="n"/>
      <c r="C90" s="18" t="n"/>
      <c r="D90" s="18" t="n"/>
      <c r="E90" s="18" t="n"/>
      <c r="F90" s="18" t="n"/>
      <c r="G90" s="18" t="n"/>
      <c r="H90" s="17">
        <f>IF(AND(ISNUMBER(F90),ISNUMBER(G90)),F90-G90,"")</f>
        <v/>
      </c>
      <c r="I90" s="18" t="n"/>
      <c r="J90" s="18" t="n"/>
    </row>
    <row r="91">
      <c r="A91" s="18" t="n"/>
      <c r="B91" s="18" t="n"/>
      <c r="C91" s="18" t="n"/>
      <c r="D91" s="18" t="n"/>
      <c r="E91" s="18" t="n"/>
      <c r="F91" s="18" t="n"/>
      <c r="G91" s="18" t="n"/>
      <c r="H91" s="17">
        <f>IF(AND(ISNUMBER(F91),ISNUMBER(G91)),F91-G91,"")</f>
        <v/>
      </c>
      <c r="I91" s="18" t="n"/>
      <c r="J91" s="18" t="n"/>
    </row>
    <row r="92">
      <c r="A92" s="18" t="n"/>
      <c r="B92" s="18" t="n"/>
      <c r="C92" s="18" t="n"/>
      <c r="D92" s="18" t="n"/>
      <c r="E92" s="18" t="n"/>
      <c r="F92" s="18" t="n"/>
      <c r="G92" s="18" t="n"/>
      <c r="H92" s="17">
        <f>IF(AND(ISNUMBER(F92),ISNUMBER(G92)),F92-G92,"")</f>
        <v/>
      </c>
      <c r="I92" s="18" t="n"/>
      <c r="J92" s="18" t="n"/>
    </row>
    <row r="93">
      <c r="A93" s="18" t="n"/>
      <c r="B93" s="18" t="n"/>
      <c r="C93" s="18" t="n"/>
      <c r="D93" s="18" t="n"/>
      <c r="E93" s="18" t="n"/>
      <c r="F93" s="18" t="n"/>
      <c r="G93" s="18" t="n"/>
      <c r="H93" s="17">
        <f>IF(AND(ISNUMBER(F93),ISNUMBER(G93)),F93-G93,"")</f>
        <v/>
      </c>
      <c r="I93" s="18" t="n"/>
      <c r="J93" s="18" t="n"/>
    </row>
    <row r="94">
      <c r="A94" s="18" t="n"/>
      <c r="B94" s="18" t="n"/>
      <c r="C94" s="18" t="n"/>
      <c r="D94" s="18" t="n"/>
      <c r="E94" s="18" t="n"/>
      <c r="F94" s="18" t="n"/>
      <c r="G94" s="18" t="n"/>
      <c r="H94" s="17">
        <f>IF(AND(ISNUMBER(F94),ISNUMBER(G94)),F94-G94,"")</f>
        <v/>
      </c>
      <c r="I94" s="18" t="n"/>
      <c r="J94" s="18" t="n"/>
    </row>
    <row r="95">
      <c r="A95" s="18" t="n"/>
      <c r="B95" s="18" t="n"/>
      <c r="C95" s="18" t="n"/>
      <c r="D95" s="18" t="n"/>
      <c r="E95" s="18" t="n"/>
      <c r="F95" s="18" t="n"/>
      <c r="G95" s="18" t="n"/>
      <c r="H95" s="17">
        <f>IF(AND(ISNUMBER(F95),ISNUMBER(G95)),F95-G95,"")</f>
        <v/>
      </c>
      <c r="I95" s="18" t="n"/>
      <c r="J95" s="18" t="n"/>
    </row>
    <row r="96">
      <c r="A96" s="18" t="n"/>
      <c r="B96" s="18" t="n"/>
      <c r="C96" s="18" t="n"/>
      <c r="D96" s="18" t="n"/>
      <c r="E96" s="18" t="n"/>
      <c r="F96" s="18" t="n"/>
      <c r="G96" s="18" t="n"/>
      <c r="H96" s="17">
        <f>IF(AND(ISNUMBER(F96),ISNUMBER(G96)),F96-G96,"")</f>
        <v/>
      </c>
      <c r="I96" s="18" t="n"/>
      <c r="J96" s="18" t="n"/>
    </row>
    <row r="97">
      <c r="A97" s="18" t="n"/>
      <c r="B97" s="18" t="n"/>
      <c r="C97" s="18" t="n"/>
      <c r="D97" s="18" t="n"/>
      <c r="E97" s="18" t="n"/>
      <c r="F97" s="18" t="n"/>
      <c r="G97" s="18" t="n"/>
      <c r="H97" s="17">
        <f>IF(AND(ISNUMBER(F97),ISNUMBER(G97)),F97-G97,"")</f>
        <v/>
      </c>
      <c r="I97" s="18" t="n"/>
      <c r="J97" s="18" t="n"/>
    </row>
    <row r="98">
      <c r="A98" s="18" t="n"/>
      <c r="B98" s="18" t="n"/>
      <c r="C98" s="18" t="n"/>
      <c r="D98" s="18" t="n"/>
      <c r="E98" s="18" t="n"/>
      <c r="F98" s="18" t="n"/>
      <c r="G98" s="18" t="n"/>
      <c r="H98" s="17">
        <f>IF(AND(ISNUMBER(F98),ISNUMBER(G98)),F98-G98,"")</f>
        <v/>
      </c>
      <c r="I98" s="18" t="n"/>
      <c r="J98" s="18" t="n"/>
    </row>
    <row r="99">
      <c r="A99" s="18" t="n"/>
      <c r="B99" s="18" t="n"/>
      <c r="C99" s="18" t="n"/>
      <c r="D99" s="18" t="n"/>
      <c r="E99" s="18" t="n"/>
      <c r="F99" s="18" t="n"/>
      <c r="G99" s="18" t="n"/>
      <c r="H99" s="17">
        <f>IF(AND(ISNUMBER(F99),ISNUMBER(G99)),F99-G99,"")</f>
        <v/>
      </c>
      <c r="I99" s="18" t="n"/>
      <c r="J99" s="18" t="n"/>
    </row>
    <row r="100">
      <c r="A100" s="18" t="n"/>
      <c r="B100" s="18" t="n"/>
      <c r="C100" s="18" t="n"/>
      <c r="D100" s="18" t="n"/>
      <c r="E100" s="18" t="n"/>
      <c r="F100" s="18" t="n"/>
      <c r="G100" s="18" t="n"/>
      <c r="H100" s="17">
        <f>IF(AND(ISNUMBER(F100),ISNUMBER(G100)),F100-G100,"")</f>
        <v/>
      </c>
      <c r="I100" s="18" t="n"/>
      <c r="J100" s="18" t="n"/>
    </row>
    <row r="101">
      <c r="A101" s="18" t="n"/>
      <c r="B101" s="18" t="n"/>
      <c r="C101" s="18" t="n"/>
      <c r="D101" s="18" t="n"/>
      <c r="E101" s="18" t="n"/>
      <c r="F101" s="18" t="n"/>
      <c r="G101" s="18" t="n"/>
      <c r="H101" s="17">
        <f>IF(AND(ISNUMBER(F101),ISNUMBER(G101)),F101-G101,"")</f>
        <v/>
      </c>
      <c r="I101" s="18" t="n"/>
      <c r="J101" s="18" t="n"/>
    </row>
    <row r="102">
      <c r="A102" s="18" t="n"/>
      <c r="B102" s="18" t="n"/>
      <c r="C102" s="18" t="n"/>
      <c r="D102" s="18" t="n"/>
      <c r="E102" s="18" t="n"/>
      <c r="F102" s="18" t="n"/>
      <c r="G102" s="18" t="n"/>
      <c r="H102" s="17">
        <f>IF(AND(ISNUMBER(F102),ISNUMBER(G102)),F102-G102,"")</f>
        <v/>
      </c>
      <c r="I102" s="18" t="n"/>
      <c r="J102" s="18" t="n"/>
    </row>
    <row r="103">
      <c r="A103" s="18" t="n"/>
      <c r="B103" s="18" t="n"/>
      <c r="C103" s="18" t="n"/>
      <c r="D103" s="18" t="n"/>
      <c r="E103" s="18" t="n"/>
      <c r="F103" s="18" t="n"/>
      <c r="G103" s="18" t="n"/>
      <c r="H103" s="17">
        <f>IF(AND(ISNUMBER(F103),ISNUMBER(G103)),F103-G103,"")</f>
        <v/>
      </c>
      <c r="I103" s="18" t="n"/>
      <c r="J103" s="18" t="n"/>
    </row>
    <row r="104">
      <c r="A104" s="18" t="n"/>
      <c r="B104" s="18" t="n"/>
      <c r="C104" s="18" t="n"/>
      <c r="D104" s="18" t="n"/>
      <c r="E104" s="18" t="n"/>
      <c r="F104" s="18" t="n"/>
      <c r="G104" s="18" t="n"/>
      <c r="H104" s="17">
        <f>IF(AND(ISNUMBER(F104),ISNUMBER(G104)),F104-G104,"")</f>
        <v/>
      </c>
      <c r="I104" s="18" t="n"/>
      <c r="J104" s="18" t="n"/>
    </row>
  </sheetData>
  <autoFilter ref="A4:J104"/>
  <mergeCells count="2">
    <mergeCell ref="A1:J1"/>
    <mergeCell ref="A2:J2"/>
  </mergeCells>
  <dataValidations count="2">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showDropDown="0" showInputMessage="0" showErrorMessage="0" allowBlank="1" type="list">
      <formula1>"crownseoagency.com,badassbacklinks.com"</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1" type="list">
      <formula1>"Partner 1,Partner 2,Partner 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1" customWidth="1" min="11" max="11"/>
    <col width="9" customWidth="1" min="12" max="12"/>
    <col width="11" customWidth="1" min="13" max="13"/>
    <col width="13" customWidth="1" min="14" max="14"/>
  </cols>
  <sheetData>
    <row r="1" ht="34" customHeight="1">
      <c r="A1" s="1" t="inlineStr">
        <is>
          <t>On-Page SEO</t>
        </is>
      </c>
    </row>
    <row r="2" ht="20" customHeight="1">
      <c r="A2" s="2" t="inlineStr">
        <is>
          <t>One row per page. Mark each check Yes/No — the Score column tallies it automatically.</t>
        </is>
      </c>
    </row>
    <row r="4" ht="30" customHeight="1">
      <c r="A4" s="14" t="inlineStr">
        <is>
          <t>Site</t>
        </is>
      </c>
      <c r="B4" s="14" t="inlineStr">
        <is>
          <t>Page / URL</t>
        </is>
      </c>
      <c r="C4" s="14" t="inlineStr">
        <is>
          <t>Target Keyword</t>
        </is>
      </c>
      <c r="D4" s="14" t="inlineStr">
        <is>
          <t>Title Optimized</t>
        </is>
      </c>
      <c r="E4" s="14" t="inlineStr">
        <is>
          <t>Meta Description</t>
        </is>
      </c>
      <c r="F4" s="14" t="inlineStr">
        <is>
          <t>H1 w/ Keyword</t>
        </is>
      </c>
      <c r="G4" s="14" t="inlineStr">
        <is>
          <t>Internal Links</t>
        </is>
      </c>
      <c r="H4" s="14" t="inlineStr">
        <is>
          <t>Image Alt Text</t>
        </is>
      </c>
      <c r="I4" s="14" t="inlineStr">
        <is>
          <t>Schema Markup</t>
        </is>
      </c>
      <c r="J4" s="14" t="inlineStr">
        <is>
          <t>Keyword in URL</t>
        </is>
      </c>
      <c r="K4" s="14" t="inlineStr">
        <is>
          <t>Word Count</t>
        </is>
      </c>
      <c r="L4" s="14" t="inlineStr">
        <is>
          <t>Score</t>
        </is>
      </c>
      <c r="M4" s="14" t="inlineStr">
        <is>
          <t>Owner</t>
        </is>
      </c>
      <c r="N4" s="14" t="inlineStr">
        <is>
          <t>Status</t>
        </is>
      </c>
    </row>
    <row r="5">
      <c r="A5" s="18" t="inlineStr">
        <is>
          <t>crownseoagency.com</t>
        </is>
      </c>
      <c r="B5" s="18" t="inlineStr">
        <is>
          <t>/blog/local-seo</t>
        </is>
      </c>
      <c r="C5" s="18" t="inlineStr">
        <is>
          <t>local seo checklist</t>
        </is>
      </c>
      <c r="D5" s="16" t="inlineStr">
        <is>
          <t>Yes</t>
        </is>
      </c>
      <c r="E5" s="16" t="inlineStr">
        <is>
          <t>Yes</t>
        </is>
      </c>
      <c r="F5" s="16" t="inlineStr">
        <is>
          <t>Yes</t>
        </is>
      </c>
      <c r="G5" s="16" t="inlineStr">
        <is>
          <t>Yes</t>
        </is>
      </c>
      <c r="H5" s="16" t="inlineStr">
        <is>
          <t>No</t>
        </is>
      </c>
      <c r="I5" s="16" t="inlineStr">
        <is>
          <t>No</t>
        </is>
      </c>
      <c r="J5" s="16" t="inlineStr">
        <is>
          <t>Yes</t>
        </is>
      </c>
      <c r="K5" s="18" t="n">
        <v>1800</v>
      </c>
      <c r="L5" s="33">
        <f>COUNTIF(D5:J5,"Yes")/7</f>
        <v/>
      </c>
      <c r="M5" s="18" t="n"/>
      <c r="N5" s="18" t="n"/>
    </row>
    <row r="6">
      <c r="A6" s="18" t="inlineStr">
        <is>
          <t>badassbacklinks.com</t>
        </is>
      </c>
      <c r="B6" s="18" t="inlineStr">
        <is>
          <t>/services</t>
        </is>
      </c>
      <c r="C6" s="18" t="inlineStr">
        <is>
          <t>buy backlinks</t>
        </is>
      </c>
      <c r="D6" s="16" t="inlineStr">
        <is>
          <t>Yes</t>
        </is>
      </c>
      <c r="E6" s="16" t="inlineStr">
        <is>
          <t>No</t>
        </is>
      </c>
      <c r="F6" s="16" t="inlineStr">
        <is>
          <t>Yes</t>
        </is>
      </c>
      <c r="G6" s="16" t="inlineStr">
        <is>
          <t>Yes</t>
        </is>
      </c>
      <c r="H6" s="16" t="inlineStr">
        <is>
          <t>Yes</t>
        </is>
      </c>
      <c r="I6" s="16" t="inlineStr">
        <is>
          <t>No</t>
        </is>
      </c>
      <c r="J6" s="16" t="inlineStr">
        <is>
          <t>No</t>
        </is>
      </c>
      <c r="K6" s="18" t="n">
        <v>1200</v>
      </c>
      <c r="L6" s="33">
        <f>COUNTIF(D6:J6,"Yes")/7</f>
        <v/>
      </c>
      <c r="M6" s="18" t="n"/>
      <c r="N6" s="18" t="n"/>
    </row>
    <row r="7">
      <c r="A7" s="18" t="inlineStr">
        <is>
          <t>crownseoagency.com</t>
        </is>
      </c>
      <c r="B7" s="18" t="inlineStr">
        <is>
          <t>/</t>
        </is>
      </c>
      <c r="C7" s="18" t="inlineStr">
        <is>
          <t>local seo agency</t>
        </is>
      </c>
      <c r="D7" s="16" t="inlineStr">
        <is>
          <t>Yes</t>
        </is>
      </c>
      <c r="E7" s="16" t="inlineStr">
        <is>
          <t>Yes</t>
        </is>
      </c>
      <c r="F7" s="16" t="inlineStr">
        <is>
          <t>No</t>
        </is>
      </c>
      <c r="G7" s="16" t="inlineStr">
        <is>
          <t>Yes</t>
        </is>
      </c>
      <c r="H7" s="16" t="inlineStr">
        <is>
          <t>Yes</t>
        </is>
      </c>
      <c r="I7" s="16" t="inlineStr">
        <is>
          <t>Yes</t>
        </is>
      </c>
      <c r="J7" s="16" t="inlineStr">
        <is>
          <t>No</t>
        </is>
      </c>
      <c r="K7" s="18" t="n">
        <v>900</v>
      </c>
      <c r="L7" s="33">
        <f>COUNTIF(D7:J7,"Yes")/7</f>
        <v/>
      </c>
      <c r="M7" s="18" t="n"/>
      <c r="N7" s="18" t="n"/>
    </row>
    <row r="8">
      <c r="A8" s="18" t="n"/>
      <c r="B8" s="18" t="n"/>
      <c r="C8" s="18" t="n"/>
      <c r="D8" s="16" t="n"/>
      <c r="E8" s="16" t="n"/>
      <c r="F8" s="16" t="n"/>
      <c r="G8" s="16" t="n"/>
      <c r="H8" s="16" t="n"/>
      <c r="I8" s="16" t="n"/>
      <c r="J8" s="16" t="n"/>
      <c r="K8" s="18" t="n"/>
      <c r="L8" s="33">
        <f>COUNTIF(D8:J8,"Yes")/7</f>
        <v/>
      </c>
      <c r="M8" s="18" t="n"/>
      <c r="N8" s="18" t="n"/>
    </row>
    <row r="9">
      <c r="A9" s="18" t="n"/>
      <c r="B9" s="18" t="n"/>
      <c r="C9" s="18" t="n"/>
      <c r="D9" s="16" t="n"/>
      <c r="E9" s="16" t="n"/>
      <c r="F9" s="16" t="n"/>
      <c r="G9" s="16" t="n"/>
      <c r="H9" s="16" t="n"/>
      <c r="I9" s="16" t="n"/>
      <c r="J9" s="16" t="n"/>
      <c r="K9" s="18" t="n"/>
      <c r="L9" s="33">
        <f>COUNTIF(D9:J9,"Yes")/7</f>
        <v/>
      </c>
      <c r="M9" s="18" t="n"/>
      <c r="N9" s="18" t="n"/>
    </row>
    <row r="10">
      <c r="A10" s="18" t="n"/>
      <c r="B10" s="18" t="n"/>
      <c r="C10" s="18" t="n"/>
      <c r="D10" s="16" t="n"/>
      <c r="E10" s="16" t="n"/>
      <c r="F10" s="16" t="n"/>
      <c r="G10" s="16" t="n"/>
      <c r="H10" s="16" t="n"/>
      <c r="I10" s="16" t="n"/>
      <c r="J10" s="16" t="n"/>
      <c r="K10" s="18" t="n"/>
      <c r="L10" s="33">
        <f>COUNTIF(D10:J10,"Yes")/7</f>
        <v/>
      </c>
      <c r="M10" s="18" t="n"/>
      <c r="N10" s="18" t="n"/>
    </row>
    <row r="11">
      <c r="A11" s="18" t="n"/>
      <c r="B11" s="18" t="n"/>
      <c r="C11" s="18" t="n"/>
      <c r="D11" s="16" t="n"/>
      <c r="E11" s="16" t="n"/>
      <c r="F11" s="16" t="n"/>
      <c r="G11" s="16" t="n"/>
      <c r="H11" s="16" t="n"/>
      <c r="I11" s="16" t="n"/>
      <c r="J11" s="16" t="n"/>
      <c r="K11" s="18" t="n"/>
      <c r="L11" s="33">
        <f>COUNTIF(D11:J11,"Yes")/7</f>
        <v/>
      </c>
      <c r="M11" s="18" t="n"/>
      <c r="N11" s="18" t="n"/>
    </row>
    <row r="12">
      <c r="A12" s="18" t="n"/>
      <c r="B12" s="18" t="n"/>
      <c r="C12" s="18" t="n"/>
      <c r="D12" s="16" t="n"/>
      <c r="E12" s="16" t="n"/>
      <c r="F12" s="16" t="n"/>
      <c r="G12" s="16" t="n"/>
      <c r="H12" s="16" t="n"/>
      <c r="I12" s="16" t="n"/>
      <c r="J12" s="16" t="n"/>
      <c r="K12" s="18" t="n"/>
      <c r="L12" s="33">
        <f>COUNTIF(D12:J12,"Yes")/7</f>
        <v/>
      </c>
      <c r="M12" s="18" t="n"/>
      <c r="N12" s="18" t="n"/>
    </row>
    <row r="13">
      <c r="A13" s="18" t="n"/>
      <c r="B13" s="18" t="n"/>
      <c r="C13" s="18" t="n"/>
      <c r="D13" s="16" t="n"/>
      <c r="E13" s="16" t="n"/>
      <c r="F13" s="16" t="n"/>
      <c r="G13" s="16" t="n"/>
      <c r="H13" s="16" t="n"/>
      <c r="I13" s="16" t="n"/>
      <c r="J13" s="16" t="n"/>
      <c r="K13" s="18" t="n"/>
      <c r="L13" s="33">
        <f>COUNTIF(D13:J13,"Yes")/7</f>
        <v/>
      </c>
      <c r="M13" s="18" t="n"/>
      <c r="N13" s="18" t="n"/>
    </row>
    <row r="14">
      <c r="A14" s="18" t="n"/>
      <c r="B14" s="18" t="n"/>
      <c r="C14" s="18" t="n"/>
      <c r="D14" s="16" t="n"/>
      <c r="E14" s="16" t="n"/>
      <c r="F14" s="16" t="n"/>
      <c r="G14" s="16" t="n"/>
      <c r="H14" s="16" t="n"/>
      <c r="I14" s="16" t="n"/>
      <c r="J14" s="16" t="n"/>
      <c r="K14" s="18" t="n"/>
      <c r="L14" s="33">
        <f>COUNTIF(D14:J14,"Yes")/7</f>
        <v/>
      </c>
      <c r="M14" s="18" t="n"/>
      <c r="N14" s="18" t="n"/>
    </row>
    <row r="15">
      <c r="A15" s="18" t="n"/>
      <c r="B15" s="18" t="n"/>
      <c r="C15" s="18" t="n"/>
      <c r="D15" s="16" t="n"/>
      <c r="E15" s="16" t="n"/>
      <c r="F15" s="16" t="n"/>
      <c r="G15" s="16" t="n"/>
      <c r="H15" s="16" t="n"/>
      <c r="I15" s="16" t="n"/>
      <c r="J15" s="16" t="n"/>
      <c r="K15" s="18" t="n"/>
      <c r="L15" s="33">
        <f>COUNTIF(D15:J15,"Yes")/7</f>
        <v/>
      </c>
      <c r="M15" s="18" t="n"/>
      <c r="N15" s="18" t="n"/>
    </row>
    <row r="16">
      <c r="A16" s="18" t="n"/>
      <c r="B16" s="18" t="n"/>
      <c r="C16" s="18" t="n"/>
      <c r="D16" s="16" t="n"/>
      <c r="E16" s="16" t="n"/>
      <c r="F16" s="16" t="n"/>
      <c r="G16" s="16" t="n"/>
      <c r="H16" s="16" t="n"/>
      <c r="I16" s="16" t="n"/>
      <c r="J16" s="16" t="n"/>
      <c r="K16" s="18" t="n"/>
      <c r="L16" s="33">
        <f>COUNTIF(D16:J16,"Yes")/7</f>
        <v/>
      </c>
      <c r="M16" s="18" t="n"/>
      <c r="N16" s="18" t="n"/>
    </row>
    <row r="17">
      <c r="A17" s="18" t="n"/>
      <c r="B17" s="18" t="n"/>
      <c r="C17" s="18" t="n"/>
      <c r="D17" s="16" t="n"/>
      <c r="E17" s="16" t="n"/>
      <c r="F17" s="16" t="n"/>
      <c r="G17" s="16" t="n"/>
      <c r="H17" s="16" t="n"/>
      <c r="I17" s="16" t="n"/>
      <c r="J17" s="16" t="n"/>
      <c r="K17" s="18" t="n"/>
      <c r="L17" s="33">
        <f>COUNTIF(D17:J17,"Yes")/7</f>
        <v/>
      </c>
      <c r="M17" s="18" t="n"/>
      <c r="N17" s="18" t="n"/>
    </row>
    <row r="18">
      <c r="A18" s="18" t="n"/>
      <c r="B18" s="18" t="n"/>
      <c r="C18" s="18" t="n"/>
      <c r="D18" s="16" t="n"/>
      <c r="E18" s="16" t="n"/>
      <c r="F18" s="16" t="n"/>
      <c r="G18" s="16" t="n"/>
      <c r="H18" s="16" t="n"/>
      <c r="I18" s="16" t="n"/>
      <c r="J18" s="16" t="n"/>
      <c r="K18" s="18" t="n"/>
      <c r="L18" s="33">
        <f>COUNTIF(D18:J18,"Yes")/7</f>
        <v/>
      </c>
      <c r="M18" s="18" t="n"/>
      <c r="N18" s="18" t="n"/>
    </row>
    <row r="19">
      <c r="A19" s="18" t="n"/>
      <c r="B19" s="18" t="n"/>
      <c r="C19" s="18" t="n"/>
      <c r="D19" s="16" t="n"/>
      <c r="E19" s="16" t="n"/>
      <c r="F19" s="16" t="n"/>
      <c r="G19" s="16" t="n"/>
      <c r="H19" s="16" t="n"/>
      <c r="I19" s="16" t="n"/>
      <c r="J19" s="16" t="n"/>
      <c r="K19" s="18" t="n"/>
      <c r="L19" s="33">
        <f>COUNTIF(D19:J19,"Yes")/7</f>
        <v/>
      </c>
      <c r="M19" s="18" t="n"/>
      <c r="N19" s="18" t="n"/>
    </row>
    <row r="20">
      <c r="A20" s="18" t="n"/>
      <c r="B20" s="18" t="n"/>
      <c r="C20" s="18" t="n"/>
      <c r="D20" s="16" t="n"/>
      <c r="E20" s="16" t="n"/>
      <c r="F20" s="16" t="n"/>
      <c r="G20" s="16" t="n"/>
      <c r="H20" s="16" t="n"/>
      <c r="I20" s="16" t="n"/>
      <c r="J20" s="16" t="n"/>
      <c r="K20" s="18" t="n"/>
      <c r="L20" s="33">
        <f>COUNTIF(D20:J20,"Yes")/7</f>
        <v/>
      </c>
      <c r="M20" s="18" t="n"/>
      <c r="N20" s="18" t="n"/>
    </row>
    <row r="21">
      <c r="A21" s="18" t="n"/>
      <c r="B21" s="18" t="n"/>
      <c r="C21" s="18" t="n"/>
      <c r="D21" s="16" t="n"/>
      <c r="E21" s="16" t="n"/>
      <c r="F21" s="16" t="n"/>
      <c r="G21" s="16" t="n"/>
      <c r="H21" s="16" t="n"/>
      <c r="I21" s="16" t="n"/>
      <c r="J21" s="16" t="n"/>
      <c r="K21" s="18" t="n"/>
      <c r="L21" s="33">
        <f>COUNTIF(D21:J21,"Yes")/7</f>
        <v/>
      </c>
      <c r="M21" s="18" t="n"/>
      <c r="N21" s="18" t="n"/>
    </row>
    <row r="22">
      <c r="A22" s="18" t="n"/>
      <c r="B22" s="18" t="n"/>
      <c r="C22" s="18" t="n"/>
      <c r="D22" s="16" t="n"/>
      <c r="E22" s="16" t="n"/>
      <c r="F22" s="16" t="n"/>
      <c r="G22" s="16" t="n"/>
      <c r="H22" s="16" t="n"/>
      <c r="I22" s="16" t="n"/>
      <c r="J22" s="16" t="n"/>
      <c r="K22" s="18" t="n"/>
      <c r="L22" s="33">
        <f>COUNTIF(D22:J22,"Yes")/7</f>
        <v/>
      </c>
      <c r="M22" s="18" t="n"/>
      <c r="N22" s="18" t="n"/>
    </row>
    <row r="23">
      <c r="A23" s="18" t="n"/>
      <c r="B23" s="18" t="n"/>
      <c r="C23" s="18" t="n"/>
      <c r="D23" s="16" t="n"/>
      <c r="E23" s="16" t="n"/>
      <c r="F23" s="16" t="n"/>
      <c r="G23" s="16" t="n"/>
      <c r="H23" s="16" t="n"/>
      <c r="I23" s="16" t="n"/>
      <c r="J23" s="16" t="n"/>
      <c r="K23" s="18" t="n"/>
      <c r="L23" s="33">
        <f>COUNTIF(D23:J23,"Yes")/7</f>
        <v/>
      </c>
      <c r="M23" s="18" t="n"/>
      <c r="N23" s="18" t="n"/>
    </row>
    <row r="24">
      <c r="A24" s="18" t="n"/>
      <c r="B24" s="18" t="n"/>
      <c r="C24" s="18" t="n"/>
      <c r="D24" s="16" t="n"/>
      <c r="E24" s="16" t="n"/>
      <c r="F24" s="16" t="n"/>
      <c r="G24" s="16" t="n"/>
      <c r="H24" s="16" t="n"/>
      <c r="I24" s="16" t="n"/>
      <c r="J24" s="16" t="n"/>
      <c r="K24" s="18" t="n"/>
      <c r="L24" s="33">
        <f>COUNTIF(D24:J24,"Yes")/7</f>
        <v/>
      </c>
      <c r="M24" s="18" t="n"/>
      <c r="N24" s="18" t="n"/>
    </row>
    <row r="25">
      <c r="A25" s="18" t="n"/>
      <c r="B25" s="18" t="n"/>
      <c r="C25" s="18" t="n"/>
      <c r="D25" s="16" t="n"/>
      <c r="E25" s="16" t="n"/>
      <c r="F25" s="16" t="n"/>
      <c r="G25" s="16" t="n"/>
      <c r="H25" s="16" t="n"/>
      <c r="I25" s="16" t="n"/>
      <c r="J25" s="16" t="n"/>
      <c r="K25" s="18" t="n"/>
      <c r="L25" s="33">
        <f>COUNTIF(D25:J25,"Yes")/7</f>
        <v/>
      </c>
      <c r="M25" s="18" t="n"/>
      <c r="N25" s="18" t="n"/>
    </row>
    <row r="26">
      <c r="A26" s="18" t="n"/>
      <c r="B26" s="18" t="n"/>
      <c r="C26" s="18" t="n"/>
      <c r="D26" s="16" t="n"/>
      <c r="E26" s="16" t="n"/>
      <c r="F26" s="16" t="n"/>
      <c r="G26" s="16" t="n"/>
      <c r="H26" s="16" t="n"/>
      <c r="I26" s="16" t="n"/>
      <c r="J26" s="16" t="n"/>
      <c r="K26" s="18" t="n"/>
      <c r="L26" s="33">
        <f>COUNTIF(D26:J26,"Yes")/7</f>
        <v/>
      </c>
      <c r="M26" s="18" t="n"/>
      <c r="N26" s="18" t="n"/>
    </row>
    <row r="27">
      <c r="A27" s="18" t="n"/>
      <c r="B27" s="18" t="n"/>
      <c r="C27" s="18" t="n"/>
      <c r="D27" s="16" t="n"/>
      <c r="E27" s="16" t="n"/>
      <c r="F27" s="16" t="n"/>
      <c r="G27" s="16" t="n"/>
      <c r="H27" s="16" t="n"/>
      <c r="I27" s="16" t="n"/>
      <c r="J27" s="16" t="n"/>
      <c r="K27" s="18" t="n"/>
      <c r="L27" s="33">
        <f>COUNTIF(D27:J27,"Yes")/7</f>
        <v/>
      </c>
      <c r="M27" s="18" t="n"/>
      <c r="N27" s="18" t="n"/>
    </row>
    <row r="28">
      <c r="A28" s="18" t="n"/>
      <c r="B28" s="18" t="n"/>
      <c r="C28" s="18" t="n"/>
      <c r="D28" s="16" t="n"/>
      <c r="E28" s="16" t="n"/>
      <c r="F28" s="16" t="n"/>
      <c r="G28" s="16" t="n"/>
      <c r="H28" s="16" t="n"/>
      <c r="I28" s="16" t="n"/>
      <c r="J28" s="16" t="n"/>
      <c r="K28" s="18" t="n"/>
      <c r="L28" s="33">
        <f>COUNTIF(D28:J28,"Yes")/7</f>
        <v/>
      </c>
      <c r="M28" s="18" t="n"/>
      <c r="N28" s="18" t="n"/>
    </row>
    <row r="29">
      <c r="A29" s="18" t="n"/>
      <c r="B29" s="18" t="n"/>
      <c r="C29" s="18" t="n"/>
      <c r="D29" s="16" t="n"/>
      <c r="E29" s="16" t="n"/>
      <c r="F29" s="16" t="n"/>
      <c r="G29" s="16" t="n"/>
      <c r="H29" s="16" t="n"/>
      <c r="I29" s="16" t="n"/>
      <c r="J29" s="16" t="n"/>
      <c r="K29" s="18" t="n"/>
      <c r="L29" s="33">
        <f>COUNTIF(D29:J29,"Yes")/7</f>
        <v/>
      </c>
      <c r="M29" s="18" t="n"/>
      <c r="N29" s="18" t="n"/>
    </row>
    <row r="30">
      <c r="A30" s="18" t="n"/>
      <c r="B30" s="18" t="n"/>
      <c r="C30" s="18" t="n"/>
      <c r="D30" s="16" t="n"/>
      <c r="E30" s="16" t="n"/>
      <c r="F30" s="16" t="n"/>
      <c r="G30" s="16" t="n"/>
      <c r="H30" s="16" t="n"/>
      <c r="I30" s="16" t="n"/>
      <c r="J30" s="16" t="n"/>
      <c r="K30" s="18" t="n"/>
      <c r="L30" s="33">
        <f>COUNTIF(D30:J30,"Yes")/7</f>
        <v/>
      </c>
      <c r="M30" s="18" t="n"/>
      <c r="N30" s="18" t="n"/>
    </row>
    <row r="31">
      <c r="A31" s="18" t="n"/>
      <c r="B31" s="18" t="n"/>
      <c r="C31" s="18" t="n"/>
      <c r="D31" s="16" t="n"/>
      <c r="E31" s="16" t="n"/>
      <c r="F31" s="16" t="n"/>
      <c r="G31" s="16" t="n"/>
      <c r="H31" s="16" t="n"/>
      <c r="I31" s="16" t="n"/>
      <c r="J31" s="16" t="n"/>
      <c r="K31" s="18" t="n"/>
      <c r="L31" s="33">
        <f>COUNTIF(D31:J31,"Yes")/7</f>
        <v/>
      </c>
      <c r="M31" s="18" t="n"/>
      <c r="N31" s="18" t="n"/>
    </row>
    <row r="32">
      <c r="A32" s="18" t="n"/>
      <c r="B32" s="18" t="n"/>
      <c r="C32" s="18" t="n"/>
      <c r="D32" s="16" t="n"/>
      <c r="E32" s="16" t="n"/>
      <c r="F32" s="16" t="n"/>
      <c r="G32" s="16" t="n"/>
      <c r="H32" s="16" t="n"/>
      <c r="I32" s="16" t="n"/>
      <c r="J32" s="16" t="n"/>
      <c r="K32" s="18" t="n"/>
      <c r="L32" s="33">
        <f>COUNTIF(D32:J32,"Yes")/7</f>
        <v/>
      </c>
      <c r="M32" s="18" t="n"/>
      <c r="N32" s="18" t="n"/>
    </row>
    <row r="33">
      <c r="A33" s="18" t="n"/>
      <c r="B33" s="18" t="n"/>
      <c r="C33" s="18" t="n"/>
      <c r="D33" s="16" t="n"/>
      <c r="E33" s="16" t="n"/>
      <c r="F33" s="16" t="n"/>
      <c r="G33" s="16" t="n"/>
      <c r="H33" s="16" t="n"/>
      <c r="I33" s="16" t="n"/>
      <c r="J33" s="16" t="n"/>
      <c r="K33" s="18" t="n"/>
      <c r="L33" s="33">
        <f>COUNTIF(D33:J33,"Yes")/7</f>
        <v/>
      </c>
      <c r="M33" s="18" t="n"/>
      <c r="N33" s="18" t="n"/>
    </row>
    <row r="34">
      <c r="A34" s="18" t="n"/>
      <c r="B34" s="18" t="n"/>
      <c r="C34" s="18" t="n"/>
      <c r="D34" s="16" t="n"/>
      <c r="E34" s="16" t="n"/>
      <c r="F34" s="16" t="n"/>
      <c r="G34" s="16" t="n"/>
      <c r="H34" s="16" t="n"/>
      <c r="I34" s="16" t="n"/>
      <c r="J34" s="16" t="n"/>
      <c r="K34" s="18" t="n"/>
      <c r="L34" s="33">
        <f>COUNTIF(D34:J34,"Yes")/7</f>
        <v/>
      </c>
      <c r="M34" s="18" t="n"/>
      <c r="N34" s="18" t="n"/>
    </row>
    <row r="35">
      <c r="A35" s="18" t="n"/>
      <c r="B35" s="18" t="n"/>
      <c r="C35" s="18" t="n"/>
      <c r="D35" s="16" t="n"/>
      <c r="E35" s="16" t="n"/>
      <c r="F35" s="16" t="n"/>
      <c r="G35" s="16" t="n"/>
      <c r="H35" s="16" t="n"/>
      <c r="I35" s="16" t="n"/>
      <c r="J35" s="16" t="n"/>
      <c r="K35" s="18" t="n"/>
      <c r="L35" s="33">
        <f>COUNTIF(D35:J35,"Yes")/7</f>
        <v/>
      </c>
      <c r="M35" s="18" t="n"/>
      <c r="N35" s="18" t="n"/>
    </row>
    <row r="36">
      <c r="A36" s="18" t="n"/>
      <c r="B36" s="18" t="n"/>
      <c r="C36" s="18" t="n"/>
      <c r="D36" s="16" t="n"/>
      <c r="E36" s="16" t="n"/>
      <c r="F36" s="16" t="n"/>
      <c r="G36" s="16" t="n"/>
      <c r="H36" s="16" t="n"/>
      <c r="I36" s="16" t="n"/>
      <c r="J36" s="16" t="n"/>
      <c r="K36" s="18" t="n"/>
      <c r="L36" s="33">
        <f>COUNTIF(D36:J36,"Yes")/7</f>
        <v/>
      </c>
      <c r="M36" s="18" t="n"/>
      <c r="N36" s="18" t="n"/>
    </row>
    <row r="37">
      <c r="A37" s="18" t="n"/>
      <c r="B37" s="18" t="n"/>
      <c r="C37" s="18" t="n"/>
      <c r="D37" s="16" t="n"/>
      <c r="E37" s="16" t="n"/>
      <c r="F37" s="16" t="n"/>
      <c r="G37" s="16" t="n"/>
      <c r="H37" s="16" t="n"/>
      <c r="I37" s="16" t="n"/>
      <c r="J37" s="16" t="n"/>
      <c r="K37" s="18" t="n"/>
      <c r="L37" s="33">
        <f>COUNTIF(D37:J37,"Yes")/7</f>
        <v/>
      </c>
      <c r="M37" s="18" t="n"/>
      <c r="N37" s="18" t="n"/>
    </row>
    <row r="38">
      <c r="A38" s="18" t="n"/>
      <c r="B38" s="18" t="n"/>
      <c r="C38" s="18" t="n"/>
      <c r="D38" s="16" t="n"/>
      <c r="E38" s="16" t="n"/>
      <c r="F38" s="16" t="n"/>
      <c r="G38" s="16" t="n"/>
      <c r="H38" s="16" t="n"/>
      <c r="I38" s="16" t="n"/>
      <c r="J38" s="16" t="n"/>
      <c r="K38" s="18" t="n"/>
      <c r="L38" s="33">
        <f>COUNTIF(D38:J38,"Yes")/7</f>
        <v/>
      </c>
      <c r="M38" s="18" t="n"/>
      <c r="N38" s="18" t="n"/>
    </row>
    <row r="39">
      <c r="A39" s="18" t="n"/>
      <c r="B39" s="18" t="n"/>
      <c r="C39" s="18" t="n"/>
      <c r="D39" s="16" t="n"/>
      <c r="E39" s="16" t="n"/>
      <c r="F39" s="16" t="n"/>
      <c r="G39" s="16" t="n"/>
      <c r="H39" s="16" t="n"/>
      <c r="I39" s="16" t="n"/>
      <c r="J39" s="16" t="n"/>
      <c r="K39" s="18" t="n"/>
      <c r="L39" s="33">
        <f>COUNTIF(D39:J39,"Yes")/7</f>
        <v/>
      </c>
      <c r="M39" s="18" t="n"/>
      <c r="N39" s="18" t="n"/>
    </row>
    <row r="40">
      <c r="A40" s="18" t="n"/>
      <c r="B40" s="18" t="n"/>
      <c r="C40" s="18" t="n"/>
      <c r="D40" s="16" t="n"/>
      <c r="E40" s="16" t="n"/>
      <c r="F40" s="16" t="n"/>
      <c r="G40" s="16" t="n"/>
      <c r="H40" s="16" t="n"/>
      <c r="I40" s="16" t="n"/>
      <c r="J40" s="16" t="n"/>
      <c r="K40" s="18" t="n"/>
      <c r="L40" s="33">
        <f>COUNTIF(D40:J40,"Yes")/7</f>
        <v/>
      </c>
      <c r="M40" s="18" t="n"/>
      <c r="N40" s="18" t="n"/>
    </row>
    <row r="41">
      <c r="A41" s="18" t="n"/>
      <c r="B41" s="18" t="n"/>
      <c r="C41" s="18" t="n"/>
      <c r="D41" s="16" t="n"/>
      <c r="E41" s="16" t="n"/>
      <c r="F41" s="16" t="n"/>
      <c r="G41" s="16" t="n"/>
      <c r="H41" s="16" t="n"/>
      <c r="I41" s="16" t="n"/>
      <c r="J41" s="16" t="n"/>
      <c r="K41" s="18" t="n"/>
      <c r="L41" s="33">
        <f>COUNTIF(D41:J41,"Yes")/7</f>
        <v/>
      </c>
      <c r="M41" s="18" t="n"/>
      <c r="N41" s="18" t="n"/>
    </row>
    <row r="42">
      <c r="A42" s="18" t="n"/>
      <c r="B42" s="18" t="n"/>
      <c r="C42" s="18" t="n"/>
      <c r="D42" s="16" t="n"/>
      <c r="E42" s="16" t="n"/>
      <c r="F42" s="16" t="n"/>
      <c r="G42" s="16" t="n"/>
      <c r="H42" s="16" t="n"/>
      <c r="I42" s="16" t="n"/>
      <c r="J42" s="16" t="n"/>
      <c r="K42" s="18" t="n"/>
      <c r="L42" s="33">
        <f>COUNTIF(D42:J42,"Yes")/7</f>
        <v/>
      </c>
      <c r="M42" s="18" t="n"/>
      <c r="N42" s="18" t="n"/>
    </row>
    <row r="43">
      <c r="A43" s="18" t="n"/>
      <c r="B43" s="18" t="n"/>
      <c r="C43" s="18" t="n"/>
      <c r="D43" s="16" t="n"/>
      <c r="E43" s="16" t="n"/>
      <c r="F43" s="16" t="n"/>
      <c r="G43" s="16" t="n"/>
      <c r="H43" s="16" t="n"/>
      <c r="I43" s="16" t="n"/>
      <c r="J43" s="16" t="n"/>
      <c r="K43" s="18" t="n"/>
      <c r="L43" s="33">
        <f>COUNTIF(D43:J43,"Yes")/7</f>
        <v/>
      </c>
      <c r="M43" s="18" t="n"/>
      <c r="N43" s="18" t="n"/>
    </row>
    <row r="44">
      <c r="A44" s="18" t="n"/>
      <c r="B44" s="18" t="n"/>
      <c r="C44" s="18" t="n"/>
      <c r="D44" s="16" t="n"/>
      <c r="E44" s="16" t="n"/>
      <c r="F44" s="16" t="n"/>
      <c r="G44" s="16" t="n"/>
      <c r="H44" s="16" t="n"/>
      <c r="I44" s="16" t="n"/>
      <c r="J44" s="16" t="n"/>
      <c r="K44" s="18" t="n"/>
      <c r="L44" s="33">
        <f>COUNTIF(D44:J44,"Yes")/7</f>
        <v/>
      </c>
      <c r="M44" s="18" t="n"/>
      <c r="N44" s="18" t="n"/>
    </row>
    <row r="45">
      <c r="A45" s="18" t="n"/>
      <c r="B45" s="18" t="n"/>
      <c r="C45" s="18" t="n"/>
      <c r="D45" s="16" t="n"/>
      <c r="E45" s="16" t="n"/>
      <c r="F45" s="16" t="n"/>
      <c r="G45" s="16" t="n"/>
      <c r="H45" s="16" t="n"/>
      <c r="I45" s="16" t="n"/>
      <c r="J45" s="16" t="n"/>
      <c r="K45" s="18" t="n"/>
      <c r="L45" s="33">
        <f>COUNTIF(D45:J45,"Yes")/7</f>
        <v/>
      </c>
      <c r="M45" s="18" t="n"/>
      <c r="N45" s="18" t="n"/>
    </row>
    <row r="46">
      <c r="A46" s="18" t="n"/>
      <c r="B46" s="18" t="n"/>
      <c r="C46" s="18" t="n"/>
      <c r="D46" s="16" t="n"/>
      <c r="E46" s="16" t="n"/>
      <c r="F46" s="16" t="n"/>
      <c r="G46" s="16" t="n"/>
      <c r="H46" s="16" t="n"/>
      <c r="I46" s="16" t="n"/>
      <c r="J46" s="16" t="n"/>
      <c r="K46" s="18" t="n"/>
      <c r="L46" s="33">
        <f>COUNTIF(D46:J46,"Yes")/7</f>
        <v/>
      </c>
      <c r="M46" s="18" t="n"/>
      <c r="N46" s="18" t="n"/>
    </row>
    <row r="47">
      <c r="A47" s="18" t="n"/>
      <c r="B47" s="18" t="n"/>
      <c r="C47" s="18" t="n"/>
      <c r="D47" s="16" t="n"/>
      <c r="E47" s="16" t="n"/>
      <c r="F47" s="16" t="n"/>
      <c r="G47" s="16" t="n"/>
      <c r="H47" s="16" t="n"/>
      <c r="I47" s="16" t="n"/>
      <c r="J47" s="16" t="n"/>
      <c r="K47" s="18" t="n"/>
      <c r="L47" s="33">
        <f>COUNTIF(D47:J47,"Yes")/7</f>
        <v/>
      </c>
      <c r="M47" s="18" t="n"/>
      <c r="N47" s="18" t="n"/>
    </row>
    <row r="48">
      <c r="A48" s="18" t="n"/>
      <c r="B48" s="18" t="n"/>
      <c r="C48" s="18" t="n"/>
      <c r="D48" s="16" t="n"/>
      <c r="E48" s="16" t="n"/>
      <c r="F48" s="16" t="n"/>
      <c r="G48" s="16" t="n"/>
      <c r="H48" s="16" t="n"/>
      <c r="I48" s="16" t="n"/>
      <c r="J48" s="16" t="n"/>
      <c r="K48" s="18" t="n"/>
      <c r="L48" s="33">
        <f>COUNTIF(D48:J48,"Yes")/7</f>
        <v/>
      </c>
      <c r="M48" s="18" t="n"/>
      <c r="N48" s="18" t="n"/>
    </row>
    <row r="49">
      <c r="A49" s="18" t="n"/>
      <c r="B49" s="18" t="n"/>
      <c r="C49" s="18" t="n"/>
      <c r="D49" s="16" t="n"/>
      <c r="E49" s="16" t="n"/>
      <c r="F49" s="16" t="n"/>
      <c r="G49" s="16" t="n"/>
      <c r="H49" s="16" t="n"/>
      <c r="I49" s="16" t="n"/>
      <c r="J49" s="16" t="n"/>
      <c r="K49" s="18" t="n"/>
      <c r="L49" s="33">
        <f>COUNTIF(D49:J49,"Yes")/7</f>
        <v/>
      </c>
      <c r="M49" s="18" t="n"/>
      <c r="N49" s="18" t="n"/>
    </row>
    <row r="50">
      <c r="A50" s="18" t="n"/>
      <c r="B50" s="18" t="n"/>
      <c r="C50" s="18" t="n"/>
      <c r="D50" s="16" t="n"/>
      <c r="E50" s="16" t="n"/>
      <c r="F50" s="16" t="n"/>
      <c r="G50" s="16" t="n"/>
      <c r="H50" s="16" t="n"/>
      <c r="I50" s="16" t="n"/>
      <c r="J50" s="16" t="n"/>
      <c r="K50" s="18" t="n"/>
      <c r="L50" s="33">
        <f>COUNTIF(D50:J50,"Yes")/7</f>
        <v/>
      </c>
      <c r="M50" s="18" t="n"/>
      <c r="N50" s="18" t="n"/>
    </row>
    <row r="51">
      <c r="A51" s="18" t="n"/>
      <c r="B51" s="18" t="n"/>
      <c r="C51" s="18" t="n"/>
      <c r="D51" s="16" t="n"/>
      <c r="E51" s="16" t="n"/>
      <c r="F51" s="16" t="n"/>
      <c r="G51" s="16" t="n"/>
      <c r="H51" s="16" t="n"/>
      <c r="I51" s="16" t="n"/>
      <c r="J51" s="16" t="n"/>
      <c r="K51" s="18" t="n"/>
      <c r="L51" s="33">
        <f>COUNTIF(D51:J51,"Yes")/7</f>
        <v/>
      </c>
      <c r="M51" s="18" t="n"/>
      <c r="N51" s="18" t="n"/>
    </row>
    <row r="52">
      <c r="A52" s="18" t="n"/>
      <c r="B52" s="18" t="n"/>
      <c r="C52" s="18" t="n"/>
      <c r="D52" s="16" t="n"/>
      <c r="E52" s="16" t="n"/>
      <c r="F52" s="16" t="n"/>
      <c r="G52" s="16" t="n"/>
      <c r="H52" s="16" t="n"/>
      <c r="I52" s="16" t="n"/>
      <c r="J52" s="16" t="n"/>
      <c r="K52" s="18" t="n"/>
      <c r="L52" s="33">
        <f>COUNTIF(D52:J52,"Yes")/7</f>
        <v/>
      </c>
      <c r="M52" s="18" t="n"/>
      <c r="N52" s="18" t="n"/>
    </row>
    <row r="53">
      <c r="A53" s="18" t="n"/>
      <c r="B53" s="18" t="n"/>
      <c r="C53" s="18" t="n"/>
      <c r="D53" s="16" t="n"/>
      <c r="E53" s="16" t="n"/>
      <c r="F53" s="16" t="n"/>
      <c r="G53" s="16" t="n"/>
      <c r="H53" s="16" t="n"/>
      <c r="I53" s="16" t="n"/>
      <c r="J53" s="16" t="n"/>
      <c r="K53" s="18" t="n"/>
      <c r="L53" s="33">
        <f>COUNTIF(D53:J53,"Yes")/7</f>
        <v/>
      </c>
      <c r="M53" s="18" t="n"/>
      <c r="N53" s="18" t="n"/>
    </row>
    <row r="54">
      <c r="A54" s="18" t="n"/>
      <c r="B54" s="18" t="n"/>
      <c r="C54" s="18" t="n"/>
      <c r="D54" s="16" t="n"/>
      <c r="E54" s="16" t="n"/>
      <c r="F54" s="16" t="n"/>
      <c r="G54" s="16" t="n"/>
      <c r="H54" s="16" t="n"/>
      <c r="I54" s="16" t="n"/>
      <c r="J54" s="16" t="n"/>
      <c r="K54" s="18" t="n"/>
      <c r="L54" s="33">
        <f>COUNTIF(D54:J54,"Yes")/7</f>
        <v/>
      </c>
      <c r="M54" s="18" t="n"/>
      <c r="N54" s="18" t="n"/>
    </row>
    <row r="55">
      <c r="A55" s="18" t="n"/>
      <c r="B55" s="18" t="n"/>
      <c r="C55" s="18" t="n"/>
      <c r="D55" s="16" t="n"/>
      <c r="E55" s="16" t="n"/>
      <c r="F55" s="16" t="n"/>
      <c r="G55" s="16" t="n"/>
      <c r="H55" s="16" t="n"/>
      <c r="I55" s="16" t="n"/>
      <c r="J55" s="16" t="n"/>
      <c r="K55" s="18" t="n"/>
      <c r="L55" s="33">
        <f>COUNTIF(D55:J55,"Yes")/7</f>
        <v/>
      </c>
      <c r="M55" s="18" t="n"/>
      <c r="N55" s="18" t="n"/>
    </row>
    <row r="56">
      <c r="A56" s="18" t="n"/>
      <c r="B56" s="18" t="n"/>
      <c r="C56" s="18" t="n"/>
      <c r="D56" s="16" t="n"/>
      <c r="E56" s="16" t="n"/>
      <c r="F56" s="16" t="n"/>
      <c r="G56" s="16" t="n"/>
      <c r="H56" s="16" t="n"/>
      <c r="I56" s="16" t="n"/>
      <c r="J56" s="16" t="n"/>
      <c r="K56" s="18" t="n"/>
      <c r="L56" s="33">
        <f>COUNTIF(D56:J56,"Yes")/7</f>
        <v/>
      </c>
      <c r="M56" s="18" t="n"/>
      <c r="N56" s="18" t="n"/>
    </row>
    <row r="57">
      <c r="A57" s="18" t="n"/>
      <c r="B57" s="18" t="n"/>
      <c r="C57" s="18" t="n"/>
      <c r="D57" s="16" t="n"/>
      <c r="E57" s="16" t="n"/>
      <c r="F57" s="16" t="n"/>
      <c r="G57" s="16" t="n"/>
      <c r="H57" s="16" t="n"/>
      <c r="I57" s="16" t="n"/>
      <c r="J57" s="16" t="n"/>
      <c r="K57" s="18" t="n"/>
      <c r="L57" s="33">
        <f>COUNTIF(D57:J57,"Yes")/7</f>
        <v/>
      </c>
      <c r="M57" s="18" t="n"/>
      <c r="N57" s="18" t="n"/>
    </row>
    <row r="58">
      <c r="A58" s="18" t="n"/>
      <c r="B58" s="18" t="n"/>
      <c r="C58" s="18" t="n"/>
      <c r="D58" s="16" t="n"/>
      <c r="E58" s="16" t="n"/>
      <c r="F58" s="16" t="n"/>
      <c r="G58" s="16" t="n"/>
      <c r="H58" s="16" t="n"/>
      <c r="I58" s="16" t="n"/>
      <c r="J58" s="16" t="n"/>
      <c r="K58" s="18" t="n"/>
      <c r="L58" s="33">
        <f>COUNTIF(D58:J58,"Yes")/7</f>
        <v/>
      </c>
      <c r="M58" s="18" t="n"/>
      <c r="N58" s="18" t="n"/>
    </row>
    <row r="59">
      <c r="A59" s="18" t="n"/>
      <c r="B59" s="18" t="n"/>
      <c r="C59" s="18" t="n"/>
      <c r="D59" s="16" t="n"/>
      <c r="E59" s="16" t="n"/>
      <c r="F59" s="16" t="n"/>
      <c r="G59" s="16" t="n"/>
      <c r="H59" s="16" t="n"/>
      <c r="I59" s="16" t="n"/>
      <c r="J59" s="16" t="n"/>
      <c r="K59" s="18" t="n"/>
      <c r="L59" s="33">
        <f>COUNTIF(D59:J59,"Yes")/7</f>
        <v/>
      </c>
      <c r="M59" s="18" t="n"/>
      <c r="N59" s="18" t="n"/>
    </row>
    <row r="60">
      <c r="A60" s="18" t="n"/>
      <c r="B60" s="18" t="n"/>
      <c r="C60" s="18" t="n"/>
      <c r="D60" s="16" t="n"/>
      <c r="E60" s="16" t="n"/>
      <c r="F60" s="16" t="n"/>
      <c r="G60" s="16" t="n"/>
      <c r="H60" s="16" t="n"/>
      <c r="I60" s="16" t="n"/>
      <c r="J60" s="16" t="n"/>
      <c r="K60" s="18" t="n"/>
      <c r="L60" s="33">
        <f>COUNTIF(D60:J60,"Yes")/7</f>
        <v/>
      </c>
      <c r="M60" s="18" t="n"/>
      <c r="N60" s="18" t="n"/>
    </row>
    <row r="61">
      <c r="A61" s="18" t="n"/>
      <c r="B61" s="18" t="n"/>
      <c r="C61" s="18" t="n"/>
      <c r="D61" s="16" t="n"/>
      <c r="E61" s="16" t="n"/>
      <c r="F61" s="16" t="n"/>
      <c r="G61" s="16" t="n"/>
      <c r="H61" s="16" t="n"/>
      <c r="I61" s="16" t="n"/>
      <c r="J61" s="16" t="n"/>
      <c r="K61" s="18" t="n"/>
      <c r="L61" s="33">
        <f>COUNTIF(D61:J61,"Yes")/7</f>
        <v/>
      </c>
      <c r="M61" s="18" t="n"/>
      <c r="N61" s="18" t="n"/>
    </row>
    <row r="62">
      <c r="A62" s="18" t="n"/>
      <c r="B62" s="18" t="n"/>
      <c r="C62" s="18" t="n"/>
      <c r="D62" s="16" t="n"/>
      <c r="E62" s="16" t="n"/>
      <c r="F62" s="16" t="n"/>
      <c r="G62" s="16" t="n"/>
      <c r="H62" s="16" t="n"/>
      <c r="I62" s="16" t="n"/>
      <c r="J62" s="16" t="n"/>
      <c r="K62" s="18" t="n"/>
      <c r="L62" s="33">
        <f>COUNTIF(D62:J62,"Yes")/7</f>
        <v/>
      </c>
      <c r="M62" s="18" t="n"/>
      <c r="N62" s="18" t="n"/>
    </row>
    <row r="63">
      <c r="A63" s="18" t="n"/>
      <c r="B63" s="18" t="n"/>
      <c r="C63" s="18" t="n"/>
      <c r="D63" s="16" t="n"/>
      <c r="E63" s="16" t="n"/>
      <c r="F63" s="16" t="n"/>
      <c r="G63" s="16" t="n"/>
      <c r="H63" s="16" t="n"/>
      <c r="I63" s="16" t="n"/>
      <c r="J63" s="16" t="n"/>
      <c r="K63" s="18" t="n"/>
      <c r="L63" s="33">
        <f>COUNTIF(D63:J63,"Yes")/7</f>
        <v/>
      </c>
      <c r="M63" s="18" t="n"/>
      <c r="N63" s="18" t="n"/>
    </row>
    <row r="64">
      <c r="A64" s="18" t="n"/>
      <c r="B64" s="18" t="n"/>
      <c r="C64" s="18" t="n"/>
      <c r="D64" s="16" t="n"/>
      <c r="E64" s="16" t="n"/>
      <c r="F64" s="16" t="n"/>
      <c r="G64" s="16" t="n"/>
      <c r="H64" s="16" t="n"/>
      <c r="I64" s="16" t="n"/>
      <c r="J64" s="16" t="n"/>
      <c r="K64" s="18" t="n"/>
      <c r="L64" s="33">
        <f>COUNTIF(D64:J64,"Yes")/7</f>
        <v/>
      </c>
      <c r="M64" s="18" t="n"/>
      <c r="N64" s="18" t="n"/>
    </row>
    <row r="65">
      <c r="A65" s="18" t="n"/>
      <c r="B65" s="18" t="n"/>
      <c r="C65" s="18" t="n"/>
      <c r="D65" s="16" t="n"/>
      <c r="E65" s="16" t="n"/>
      <c r="F65" s="16" t="n"/>
      <c r="G65" s="16" t="n"/>
      <c r="H65" s="16" t="n"/>
      <c r="I65" s="16" t="n"/>
      <c r="J65" s="16" t="n"/>
      <c r="K65" s="18" t="n"/>
      <c r="L65" s="33">
        <f>COUNTIF(D65:J65,"Yes")/7</f>
        <v/>
      </c>
      <c r="M65" s="18" t="n"/>
      <c r="N65" s="18" t="n"/>
    </row>
    <row r="66">
      <c r="A66" s="18" t="n"/>
      <c r="B66" s="18" t="n"/>
      <c r="C66" s="18" t="n"/>
      <c r="D66" s="16" t="n"/>
      <c r="E66" s="16" t="n"/>
      <c r="F66" s="16" t="n"/>
      <c r="G66" s="16" t="n"/>
      <c r="H66" s="16" t="n"/>
      <c r="I66" s="16" t="n"/>
      <c r="J66" s="16" t="n"/>
      <c r="K66" s="18" t="n"/>
      <c r="L66" s="33">
        <f>COUNTIF(D66:J66,"Yes")/7</f>
        <v/>
      </c>
      <c r="M66" s="18" t="n"/>
      <c r="N66" s="18" t="n"/>
    </row>
    <row r="67">
      <c r="A67" s="18" t="n"/>
      <c r="B67" s="18" t="n"/>
      <c r="C67" s="18" t="n"/>
      <c r="D67" s="16" t="n"/>
      <c r="E67" s="16" t="n"/>
      <c r="F67" s="16" t="n"/>
      <c r="G67" s="16" t="n"/>
      <c r="H67" s="16" t="n"/>
      <c r="I67" s="16" t="n"/>
      <c r="J67" s="16" t="n"/>
      <c r="K67" s="18" t="n"/>
      <c r="L67" s="33">
        <f>COUNTIF(D67:J67,"Yes")/7</f>
        <v/>
      </c>
      <c r="M67" s="18" t="n"/>
      <c r="N67" s="18" t="n"/>
    </row>
    <row r="68">
      <c r="A68" s="18" t="n"/>
      <c r="B68" s="18" t="n"/>
      <c r="C68" s="18" t="n"/>
      <c r="D68" s="16" t="n"/>
      <c r="E68" s="16" t="n"/>
      <c r="F68" s="16" t="n"/>
      <c r="G68" s="16" t="n"/>
      <c r="H68" s="16" t="n"/>
      <c r="I68" s="16" t="n"/>
      <c r="J68" s="16" t="n"/>
      <c r="K68" s="18" t="n"/>
      <c r="L68" s="33">
        <f>COUNTIF(D68:J68,"Yes")/7</f>
        <v/>
      </c>
      <c r="M68" s="18" t="n"/>
      <c r="N68" s="18" t="n"/>
    </row>
    <row r="69">
      <c r="A69" s="18" t="n"/>
      <c r="B69" s="18" t="n"/>
      <c r="C69" s="18" t="n"/>
      <c r="D69" s="16" t="n"/>
      <c r="E69" s="16" t="n"/>
      <c r="F69" s="16" t="n"/>
      <c r="G69" s="16" t="n"/>
      <c r="H69" s="16" t="n"/>
      <c r="I69" s="16" t="n"/>
      <c r="J69" s="16" t="n"/>
      <c r="K69" s="18" t="n"/>
      <c r="L69" s="33">
        <f>COUNTIF(D69:J69,"Yes")/7</f>
        <v/>
      </c>
      <c r="M69" s="18" t="n"/>
      <c r="N69" s="18" t="n"/>
    </row>
    <row r="70">
      <c r="A70" s="18" t="n"/>
      <c r="B70" s="18" t="n"/>
      <c r="C70" s="18" t="n"/>
      <c r="D70" s="16" t="n"/>
      <c r="E70" s="16" t="n"/>
      <c r="F70" s="16" t="n"/>
      <c r="G70" s="16" t="n"/>
      <c r="H70" s="16" t="n"/>
      <c r="I70" s="16" t="n"/>
      <c r="J70" s="16" t="n"/>
      <c r="K70" s="18" t="n"/>
      <c r="L70" s="33">
        <f>COUNTIF(D70:J70,"Yes")/7</f>
        <v/>
      </c>
      <c r="M70" s="18" t="n"/>
      <c r="N70" s="18" t="n"/>
    </row>
    <row r="71">
      <c r="A71" s="18" t="n"/>
      <c r="B71" s="18" t="n"/>
      <c r="C71" s="18" t="n"/>
      <c r="D71" s="16" t="n"/>
      <c r="E71" s="16" t="n"/>
      <c r="F71" s="16" t="n"/>
      <c r="G71" s="16" t="n"/>
      <c r="H71" s="16" t="n"/>
      <c r="I71" s="16" t="n"/>
      <c r="J71" s="16" t="n"/>
      <c r="K71" s="18" t="n"/>
      <c r="L71" s="33">
        <f>COUNTIF(D71:J71,"Yes")/7</f>
        <v/>
      </c>
      <c r="M71" s="18" t="n"/>
      <c r="N71" s="18" t="n"/>
    </row>
    <row r="72">
      <c r="A72" s="18" t="n"/>
      <c r="B72" s="18" t="n"/>
      <c r="C72" s="18" t="n"/>
      <c r="D72" s="16" t="n"/>
      <c r="E72" s="16" t="n"/>
      <c r="F72" s="16" t="n"/>
      <c r="G72" s="16" t="n"/>
      <c r="H72" s="16" t="n"/>
      <c r="I72" s="16" t="n"/>
      <c r="J72" s="16" t="n"/>
      <c r="K72" s="18" t="n"/>
      <c r="L72" s="33">
        <f>COUNTIF(D72:J72,"Yes")/7</f>
        <v/>
      </c>
      <c r="M72" s="18" t="n"/>
      <c r="N72" s="18" t="n"/>
    </row>
    <row r="73">
      <c r="A73" s="18" t="n"/>
      <c r="B73" s="18" t="n"/>
      <c r="C73" s="18" t="n"/>
      <c r="D73" s="16" t="n"/>
      <c r="E73" s="16" t="n"/>
      <c r="F73" s="16" t="n"/>
      <c r="G73" s="16" t="n"/>
      <c r="H73" s="16" t="n"/>
      <c r="I73" s="16" t="n"/>
      <c r="J73" s="16" t="n"/>
      <c r="K73" s="18" t="n"/>
      <c r="L73" s="33">
        <f>COUNTIF(D73:J73,"Yes")/7</f>
        <v/>
      </c>
      <c r="M73" s="18" t="n"/>
      <c r="N73" s="18" t="n"/>
    </row>
    <row r="74">
      <c r="A74" s="18" t="n"/>
      <c r="B74" s="18" t="n"/>
      <c r="C74" s="18" t="n"/>
      <c r="D74" s="16" t="n"/>
      <c r="E74" s="16" t="n"/>
      <c r="F74" s="16" t="n"/>
      <c r="G74" s="16" t="n"/>
      <c r="H74" s="16" t="n"/>
      <c r="I74" s="16" t="n"/>
      <c r="J74" s="16" t="n"/>
      <c r="K74" s="18" t="n"/>
      <c r="L74" s="33">
        <f>COUNTIF(D74:J74,"Yes")/7</f>
        <v/>
      </c>
      <c r="M74" s="18" t="n"/>
      <c r="N74" s="18" t="n"/>
    </row>
    <row r="75">
      <c r="A75" s="18" t="n"/>
      <c r="B75" s="18" t="n"/>
      <c r="C75" s="18" t="n"/>
      <c r="D75" s="16" t="n"/>
      <c r="E75" s="16" t="n"/>
      <c r="F75" s="16" t="n"/>
      <c r="G75" s="16" t="n"/>
      <c r="H75" s="16" t="n"/>
      <c r="I75" s="16" t="n"/>
      <c r="J75" s="16" t="n"/>
      <c r="K75" s="18" t="n"/>
      <c r="L75" s="33">
        <f>COUNTIF(D75:J75,"Yes")/7</f>
        <v/>
      </c>
      <c r="M75" s="18" t="n"/>
      <c r="N75" s="18" t="n"/>
    </row>
    <row r="76">
      <c r="A76" s="18" t="n"/>
      <c r="B76" s="18" t="n"/>
      <c r="C76" s="18" t="n"/>
      <c r="D76" s="16" t="n"/>
      <c r="E76" s="16" t="n"/>
      <c r="F76" s="16" t="n"/>
      <c r="G76" s="16" t="n"/>
      <c r="H76" s="16" t="n"/>
      <c r="I76" s="16" t="n"/>
      <c r="J76" s="16" t="n"/>
      <c r="K76" s="18" t="n"/>
      <c r="L76" s="33">
        <f>COUNTIF(D76:J76,"Yes")/7</f>
        <v/>
      </c>
      <c r="M76" s="18" t="n"/>
      <c r="N76" s="18" t="n"/>
    </row>
    <row r="77">
      <c r="A77" s="18" t="n"/>
      <c r="B77" s="18" t="n"/>
      <c r="C77" s="18" t="n"/>
      <c r="D77" s="16" t="n"/>
      <c r="E77" s="16" t="n"/>
      <c r="F77" s="16" t="n"/>
      <c r="G77" s="16" t="n"/>
      <c r="H77" s="16" t="n"/>
      <c r="I77" s="16" t="n"/>
      <c r="J77" s="16" t="n"/>
      <c r="K77" s="18" t="n"/>
      <c r="L77" s="33">
        <f>COUNTIF(D77:J77,"Yes")/7</f>
        <v/>
      </c>
      <c r="M77" s="18" t="n"/>
      <c r="N77" s="18" t="n"/>
    </row>
    <row r="78">
      <c r="A78" s="18" t="n"/>
      <c r="B78" s="18" t="n"/>
      <c r="C78" s="18" t="n"/>
      <c r="D78" s="16" t="n"/>
      <c r="E78" s="16" t="n"/>
      <c r="F78" s="16" t="n"/>
      <c r="G78" s="16" t="n"/>
      <c r="H78" s="16" t="n"/>
      <c r="I78" s="16" t="n"/>
      <c r="J78" s="16" t="n"/>
      <c r="K78" s="18" t="n"/>
      <c r="L78" s="33">
        <f>COUNTIF(D78:J78,"Yes")/7</f>
        <v/>
      </c>
      <c r="M78" s="18" t="n"/>
      <c r="N78" s="18" t="n"/>
    </row>
    <row r="79">
      <c r="A79" s="18" t="n"/>
      <c r="B79" s="18" t="n"/>
      <c r="C79" s="18" t="n"/>
      <c r="D79" s="16" t="n"/>
      <c r="E79" s="16" t="n"/>
      <c r="F79" s="16" t="n"/>
      <c r="G79" s="16" t="n"/>
      <c r="H79" s="16" t="n"/>
      <c r="I79" s="16" t="n"/>
      <c r="J79" s="16" t="n"/>
      <c r="K79" s="18" t="n"/>
      <c r="L79" s="33">
        <f>COUNTIF(D79:J79,"Yes")/7</f>
        <v/>
      </c>
      <c r="M79" s="18" t="n"/>
      <c r="N79" s="18" t="n"/>
    </row>
    <row r="80">
      <c r="A80" s="18" t="n"/>
      <c r="B80" s="18" t="n"/>
      <c r="C80" s="18" t="n"/>
      <c r="D80" s="16" t="n"/>
      <c r="E80" s="16" t="n"/>
      <c r="F80" s="16" t="n"/>
      <c r="G80" s="16" t="n"/>
      <c r="H80" s="16" t="n"/>
      <c r="I80" s="16" t="n"/>
      <c r="J80" s="16" t="n"/>
      <c r="K80" s="18" t="n"/>
      <c r="L80" s="33">
        <f>COUNTIF(D80:J80,"Yes")/7</f>
        <v/>
      </c>
      <c r="M80" s="18" t="n"/>
      <c r="N80" s="18" t="n"/>
    </row>
    <row r="81">
      <c r="A81" s="18" t="n"/>
      <c r="B81" s="18" t="n"/>
      <c r="C81" s="18" t="n"/>
      <c r="D81" s="16" t="n"/>
      <c r="E81" s="16" t="n"/>
      <c r="F81" s="16" t="n"/>
      <c r="G81" s="16" t="n"/>
      <c r="H81" s="16" t="n"/>
      <c r="I81" s="16" t="n"/>
      <c r="J81" s="16" t="n"/>
      <c r="K81" s="18" t="n"/>
      <c r="L81" s="33">
        <f>COUNTIF(D81:J81,"Yes")/7</f>
        <v/>
      </c>
      <c r="M81" s="18" t="n"/>
      <c r="N81" s="18" t="n"/>
    </row>
    <row r="82">
      <c r="A82" s="18" t="n"/>
      <c r="B82" s="18" t="n"/>
      <c r="C82" s="18" t="n"/>
      <c r="D82" s="16" t="n"/>
      <c r="E82" s="16" t="n"/>
      <c r="F82" s="16" t="n"/>
      <c r="G82" s="16" t="n"/>
      <c r="H82" s="16" t="n"/>
      <c r="I82" s="16" t="n"/>
      <c r="J82" s="16" t="n"/>
      <c r="K82" s="18" t="n"/>
      <c r="L82" s="33">
        <f>COUNTIF(D82:J82,"Yes")/7</f>
        <v/>
      </c>
      <c r="M82" s="18" t="n"/>
      <c r="N82" s="18" t="n"/>
    </row>
    <row r="83">
      <c r="A83" s="18" t="n"/>
      <c r="B83" s="18" t="n"/>
      <c r="C83" s="18" t="n"/>
      <c r="D83" s="16" t="n"/>
      <c r="E83" s="16" t="n"/>
      <c r="F83" s="16" t="n"/>
      <c r="G83" s="16" t="n"/>
      <c r="H83" s="16" t="n"/>
      <c r="I83" s="16" t="n"/>
      <c r="J83" s="16" t="n"/>
      <c r="K83" s="18" t="n"/>
      <c r="L83" s="33">
        <f>COUNTIF(D83:J83,"Yes")/7</f>
        <v/>
      </c>
      <c r="M83" s="18" t="n"/>
      <c r="N83" s="18" t="n"/>
    </row>
    <row r="84">
      <c r="A84" s="18" t="n"/>
      <c r="B84" s="18" t="n"/>
      <c r="C84" s="18" t="n"/>
      <c r="D84" s="16" t="n"/>
      <c r="E84" s="16" t="n"/>
      <c r="F84" s="16" t="n"/>
      <c r="G84" s="16" t="n"/>
      <c r="H84" s="16" t="n"/>
      <c r="I84" s="16" t="n"/>
      <c r="J84" s="16" t="n"/>
      <c r="K84" s="18" t="n"/>
      <c r="L84" s="33">
        <f>COUNTIF(D84:J84,"Yes")/7</f>
        <v/>
      </c>
      <c r="M84" s="18" t="n"/>
      <c r="N84" s="18" t="n"/>
    </row>
    <row r="85">
      <c r="A85" s="18" t="n"/>
      <c r="B85" s="18" t="n"/>
      <c r="C85" s="18" t="n"/>
      <c r="D85" s="16" t="n"/>
      <c r="E85" s="16" t="n"/>
      <c r="F85" s="16" t="n"/>
      <c r="G85" s="16" t="n"/>
      <c r="H85" s="16" t="n"/>
      <c r="I85" s="16" t="n"/>
      <c r="J85" s="16" t="n"/>
      <c r="K85" s="18" t="n"/>
      <c r="L85" s="33">
        <f>COUNTIF(D85:J85,"Yes")/7</f>
        <v/>
      </c>
      <c r="M85" s="18" t="n"/>
      <c r="N85" s="18" t="n"/>
    </row>
    <row r="86">
      <c r="A86" s="18" t="n"/>
      <c r="B86" s="18" t="n"/>
      <c r="C86" s="18" t="n"/>
      <c r="D86" s="16" t="n"/>
      <c r="E86" s="16" t="n"/>
      <c r="F86" s="16" t="n"/>
      <c r="G86" s="16" t="n"/>
      <c r="H86" s="16" t="n"/>
      <c r="I86" s="16" t="n"/>
      <c r="J86" s="16" t="n"/>
      <c r="K86" s="18" t="n"/>
      <c r="L86" s="33">
        <f>COUNTIF(D86:J86,"Yes")/7</f>
        <v/>
      </c>
      <c r="M86" s="18" t="n"/>
      <c r="N86" s="18" t="n"/>
    </row>
    <row r="87">
      <c r="A87" s="18" t="n"/>
      <c r="B87" s="18" t="n"/>
      <c r="C87" s="18" t="n"/>
      <c r="D87" s="16" t="n"/>
      <c r="E87" s="16" t="n"/>
      <c r="F87" s="16" t="n"/>
      <c r="G87" s="16" t="n"/>
      <c r="H87" s="16" t="n"/>
      <c r="I87" s="16" t="n"/>
      <c r="J87" s="16" t="n"/>
      <c r="K87" s="18" t="n"/>
      <c r="L87" s="33">
        <f>COUNTIF(D87:J87,"Yes")/7</f>
        <v/>
      </c>
      <c r="M87" s="18" t="n"/>
      <c r="N87" s="18" t="n"/>
    </row>
    <row r="88">
      <c r="A88" s="18" t="n"/>
      <c r="B88" s="18" t="n"/>
      <c r="C88" s="18" t="n"/>
      <c r="D88" s="16" t="n"/>
      <c r="E88" s="16" t="n"/>
      <c r="F88" s="16" t="n"/>
      <c r="G88" s="16" t="n"/>
      <c r="H88" s="16" t="n"/>
      <c r="I88" s="16" t="n"/>
      <c r="J88" s="16" t="n"/>
      <c r="K88" s="18" t="n"/>
      <c r="L88" s="33">
        <f>COUNTIF(D88:J88,"Yes")/7</f>
        <v/>
      </c>
      <c r="M88" s="18" t="n"/>
      <c r="N88" s="18" t="n"/>
    </row>
    <row r="89">
      <c r="A89" s="18" t="n"/>
      <c r="B89" s="18" t="n"/>
      <c r="C89" s="18" t="n"/>
      <c r="D89" s="16" t="n"/>
      <c r="E89" s="16" t="n"/>
      <c r="F89" s="16" t="n"/>
      <c r="G89" s="16" t="n"/>
      <c r="H89" s="16" t="n"/>
      <c r="I89" s="16" t="n"/>
      <c r="J89" s="16" t="n"/>
      <c r="K89" s="18" t="n"/>
      <c r="L89" s="33">
        <f>COUNTIF(D89:J89,"Yes")/7</f>
        <v/>
      </c>
      <c r="M89" s="18" t="n"/>
      <c r="N89" s="18" t="n"/>
    </row>
    <row r="90">
      <c r="A90" s="18" t="n"/>
      <c r="B90" s="18" t="n"/>
      <c r="C90" s="18" t="n"/>
      <c r="D90" s="16" t="n"/>
      <c r="E90" s="16" t="n"/>
      <c r="F90" s="16" t="n"/>
      <c r="G90" s="16" t="n"/>
      <c r="H90" s="16" t="n"/>
      <c r="I90" s="16" t="n"/>
      <c r="J90" s="16" t="n"/>
      <c r="K90" s="18" t="n"/>
      <c r="L90" s="33">
        <f>COUNTIF(D90:J90,"Yes")/7</f>
        <v/>
      </c>
      <c r="M90" s="18" t="n"/>
      <c r="N90" s="18" t="n"/>
    </row>
    <row r="91">
      <c r="A91" s="18" t="n"/>
      <c r="B91" s="18" t="n"/>
      <c r="C91" s="18" t="n"/>
      <c r="D91" s="16" t="n"/>
      <c r="E91" s="16" t="n"/>
      <c r="F91" s="16" t="n"/>
      <c r="G91" s="16" t="n"/>
      <c r="H91" s="16" t="n"/>
      <c r="I91" s="16" t="n"/>
      <c r="J91" s="16" t="n"/>
      <c r="K91" s="18" t="n"/>
      <c r="L91" s="33">
        <f>COUNTIF(D91:J91,"Yes")/7</f>
        <v/>
      </c>
      <c r="M91" s="18" t="n"/>
      <c r="N91" s="18" t="n"/>
    </row>
    <row r="92">
      <c r="A92" s="18" t="n"/>
      <c r="B92" s="18" t="n"/>
      <c r="C92" s="18" t="n"/>
      <c r="D92" s="16" t="n"/>
      <c r="E92" s="16" t="n"/>
      <c r="F92" s="16" t="n"/>
      <c r="G92" s="16" t="n"/>
      <c r="H92" s="16" t="n"/>
      <c r="I92" s="16" t="n"/>
      <c r="J92" s="16" t="n"/>
      <c r="K92" s="18" t="n"/>
      <c r="L92" s="33">
        <f>COUNTIF(D92:J92,"Yes")/7</f>
        <v/>
      </c>
      <c r="M92" s="18" t="n"/>
      <c r="N92" s="18" t="n"/>
    </row>
    <row r="93">
      <c r="A93" s="18" t="n"/>
      <c r="B93" s="18" t="n"/>
      <c r="C93" s="18" t="n"/>
      <c r="D93" s="16" t="n"/>
      <c r="E93" s="16" t="n"/>
      <c r="F93" s="16" t="n"/>
      <c r="G93" s="16" t="n"/>
      <c r="H93" s="16" t="n"/>
      <c r="I93" s="16" t="n"/>
      <c r="J93" s="16" t="n"/>
      <c r="K93" s="18" t="n"/>
      <c r="L93" s="33">
        <f>COUNTIF(D93:J93,"Yes")/7</f>
        <v/>
      </c>
      <c r="M93" s="18" t="n"/>
      <c r="N93" s="18" t="n"/>
    </row>
    <row r="94">
      <c r="A94" s="18" t="n"/>
      <c r="B94" s="18" t="n"/>
      <c r="C94" s="18" t="n"/>
      <c r="D94" s="16" t="n"/>
      <c r="E94" s="16" t="n"/>
      <c r="F94" s="16" t="n"/>
      <c r="G94" s="16" t="n"/>
      <c r="H94" s="16" t="n"/>
      <c r="I94" s="16" t="n"/>
      <c r="J94" s="16" t="n"/>
      <c r="K94" s="18" t="n"/>
      <c r="L94" s="33">
        <f>COUNTIF(D94:J94,"Yes")/7</f>
        <v/>
      </c>
      <c r="M94" s="18" t="n"/>
      <c r="N94" s="18" t="n"/>
    </row>
    <row r="95">
      <c r="A95" s="18" t="n"/>
      <c r="B95" s="18" t="n"/>
      <c r="C95" s="18" t="n"/>
      <c r="D95" s="16" t="n"/>
      <c r="E95" s="16" t="n"/>
      <c r="F95" s="16" t="n"/>
      <c r="G95" s="16" t="n"/>
      <c r="H95" s="16" t="n"/>
      <c r="I95" s="16" t="n"/>
      <c r="J95" s="16" t="n"/>
      <c r="K95" s="18" t="n"/>
      <c r="L95" s="33">
        <f>COUNTIF(D95:J95,"Yes")/7</f>
        <v/>
      </c>
      <c r="M95" s="18" t="n"/>
      <c r="N95" s="18" t="n"/>
    </row>
    <row r="96">
      <c r="A96" s="18" t="n"/>
      <c r="B96" s="18" t="n"/>
      <c r="C96" s="18" t="n"/>
      <c r="D96" s="16" t="n"/>
      <c r="E96" s="16" t="n"/>
      <c r="F96" s="16" t="n"/>
      <c r="G96" s="16" t="n"/>
      <c r="H96" s="16" t="n"/>
      <c r="I96" s="16" t="n"/>
      <c r="J96" s="16" t="n"/>
      <c r="K96" s="18" t="n"/>
      <c r="L96" s="33">
        <f>COUNTIF(D96:J96,"Yes")/7</f>
        <v/>
      </c>
      <c r="M96" s="18" t="n"/>
      <c r="N96" s="18" t="n"/>
    </row>
    <row r="97">
      <c r="A97" s="18" t="n"/>
      <c r="B97" s="18" t="n"/>
      <c r="C97" s="18" t="n"/>
      <c r="D97" s="16" t="n"/>
      <c r="E97" s="16" t="n"/>
      <c r="F97" s="16" t="n"/>
      <c r="G97" s="16" t="n"/>
      <c r="H97" s="16" t="n"/>
      <c r="I97" s="16" t="n"/>
      <c r="J97" s="16" t="n"/>
      <c r="K97" s="18" t="n"/>
      <c r="L97" s="33">
        <f>COUNTIF(D97:J97,"Yes")/7</f>
        <v/>
      </c>
      <c r="M97" s="18" t="n"/>
      <c r="N97" s="18" t="n"/>
    </row>
    <row r="98">
      <c r="A98" s="18" t="n"/>
      <c r="B98" s="18" t="n"/>
      <c r="C98" s="18" t="n"/>
      <c r="D98" s="16" t="n"/>
      <c r="E98" s="16" t="n"/>
      <c r="F98" s="16" t="n"/>
      <c r="G98" s="16" t="n"/>
      <c r="H98" s="16" t="n"/>
      <c r="I98" s="16" t="n"/>
      <c r="J98" s="16" t="n"/>
      <c r="K98" s="18" t="n"/>
      <c r="L98" s="33">
        <f>COUNTIF(D98:J98,"Yes")/7</f>
        <v/>
      </c>
      <c r="M98" s="18" t="n"/>
      <c r="N98" s="18" t="n"/>
    </row>
    <row r="99">
      <c r="A99" s="18" t="n"/>
      <c r="B99" s="18" t="n"/>
      <c r="C99" s="18" t="n"/>
      <c r="D99" s="16" t="n"/>
      <c r="E99" s="16" t="n"/>
      <c r="F99" s="16" t="n"/>
      <c r="G99" s="16" t="n"/>
      <c r="H99" s="16" t="n"/>
      <c r="I99" s="16" t="n"/>
      <c r="J99" s="16" t="n"/>
      <c r="K99" s="18" t="n"/>
      <c r="L99" s="33">
        <f>COUNTIF(D99:J99,"Yes")/7</f>
        <v/>
      </c>
      <c r="M99" s="18" t="n"/>
      <c r="N99" s="18" t="n"/>
    </row>
    <row r="100">
      <c r="A100" s="18" t="n"/>
      <c r="B100" s="18" t="n"/>
      <c r="C100" s="18" t="n"/>
      <c r="D100" s="16" t="n"/>
      <c r="E100" s="16" t="n"/>
      <c r="F100" s="16" t="n"/>
      <c r="G100" s="16" t="n"/>
      <c r="H100" s="16" t="n"/>
      <c r="I100" s="16" t="n"/>
      <c r="J100" s="16" t="n"/>
      <c r="K100" s="18" t="n"/>
      <c r="L100" s="33">
        <f>COUNTIF(D100:J100,"Yes")/7</f>
        <v/>
      </c>
      <c r="M100" s="18" t="n"/>
      <c r="N100" s="18" t="n"/>
    </row>
    <row r="101">
      <c r="A101" s="18" t="n"/>
      <c r="B101" s="18" t="n"/>
      <c r="C101" s="18" t="n"/>
      <c r="D101" s="16" t="n"/>
      <c r="E101" s="16" t="n"/>
      <c r="F101" s="16" t="n"/>
      <c r="G101" s="16" t="n"/>
      <c r="H101" s="16" t="n"/>
      <c r="I101" s="16" t="n"/>
      <c r="J101" s="16" t="n"/>
      <c r="K101" s="18" t="n"/>
      <c r="L101" s="33">
        <f>COUNTIF(D101:J101,"Yes")/7</f>
        <v/>
      </c>
      <c r="M101" s="18" t="n"/>
      <c r="N101" s="18" t="n"/>
    </row>
    <row r="102">
      <c r="A102" s="18" t="n"/>
      <c r="B102" s="18" t="n"/>
      <c r="C102" s="18" t="n"/>
      <c r="D102" s="16" t="n"/>
      <c r="E102" s="16" t="n"/>
      <c r="F102" s="16" t="n"/>
      <c r="G102" s="16" t="n"/>
      <c r="H102" s="16" t="n"/>
      <c r="I102" s="16" t="n"/>
      <c r="J102" s="16" t="n"/>
      <c r="K102" s="18" t="n"/>
      <c r="L102" s="33">
        <f>COUNTIF(D102:J102,"Yes")/7</f>
        <v/>
      </c>
      <c r="M102" s="18" t="n"/>
      <c r="N102" s="18" t="n"/>
    </row>
    <row r="103">
      <c r="A103" s="18" t="n"/>
      <c r="B103" s="18" t="n"/>
      <c r="C103" s="18" t="n"/>
      <c r="D103" s="16" t="n"/>
      <c r="E103" s="16" t="n"/>
      <c r="F103" s="16" t="n"/>
      <c r="G103" s="16" t="n"/>
      <c r="H103" s="16" t="n"/>
      <c r="I103" s="16" t="n"/>
      <c r="J103" s="16" t="n"/>
      <c r="K103" s="18" t="n"/>
      <c r="L103" s="33">
        <f>COUNTIF(D103:J103,"Yes")/7</f>
        <v/>
      </c>
      <c r="M103" s="18" t="n"/>
      <c r="N103" s="18" t="n"/>
    </row>
    <row r="104">
      <c r="A104" s="18" t="n"/>
      <c r="B104" s="18" t="n"/>
      <c r="C104" s="18" t="n"/>
      <c r="D104" s="16" t="n"/>
      <c r="E104" s="16" t="n"/>
      <c r="F104" s="16" t="n"/>
      <c r="G104" s="16" t="n"/>
      <c r="H104" s="16" t="n"/>
      <c r="I104" s="16" t="n"/>
      <c r="J104" s="16" t="n"/>
      <c r="K104" s="18" t="n"/>
      <c r="L104" s="33">
        <f>COUNTIF(D104:J104,"Yes")/7</f>
        <v/>
      </c>
      <c r="M104" s="18" t="n"/>
      <c r="N104" s="18" t="n"/>
    </row>
  </sheetData>
  <autoFilter ref="A4:N104"/>
  <mergeCells count="2">
    <mergeCell ref="A2:N2"/>
    <mergeCell ref="A1:N1"/>
  </mergeCells>
  <dataValidations count="10">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showDropDown="0" showInputMessage="0" showErrorMessage="0" allowBlank="1" type="list">
      <formula1>"crownseoagency.com,badassbacklinks.com"</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type="list">
      <formula1>"Yes,No,N/A"</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type="list">
      <formula1>"Yes,No,N/A"</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1" type="list">
      <formula1>"Yes,No,N/A"</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"Yes,No,N/A"</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1" type="list">
      <formula1>"Yes,No,N/A"</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1" type="list">
      <formula1>"Yes,No,N/A"</formula1>
    </dataValidation>
    <dataValidation sqref="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showDropDown="0" showInputMessage="0" showErrorMessage="0" allowBlank="1" type="list">
      <formula1>"Partner 1,Partner 2,Partner 3"</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1" type="list">
      <formula1>"To Do,In Progress,Optimized"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4"/>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22" customWidth="1" min="3" max="3"/>
    <col width="14" customWidth="1" min="4" max="4"/>
    <col width="12" customWidth="1" min="5" max="5"/>
    <col width="12" customWidth="1" min="6" max="6"/>
    <col width="14" customWidth="1" min="7" max="7"/>
    <col width="13" customWidth="1" min="8" max="8"/>
    <col width="28" customWidth="1" min="9" max="9"/>
    <col width="14" customWidth="1" min="11" max="11"/>
    <col width="14" customWidth="1" min="12" max="12"/>
    <col width="14" customWidth="1" min="13" max="13"/>
  </cols>
  <sheetData>
    <row r="1" ht="34" customHeight="1">
      <c r="A1" s="1" t="inlineStr">
        <is>
          <t>Content Tracker</t>
        </is>
      </c>
    </row>
    <row r="2" ht="20" customHeight="1">
      <c r="A2" s="2" t="inlineStr">
        <is>
          <t>Every page and post — from idea to published.</t>
        </is>
      </c>
    </row>
    <row r="4" ht="30" customHeight="1">
      <c r="A4" s="14" t="inlineStr">
        <is>
          <t>Site</t>
        </is>
      </c>
      <c r="B4" s="14" t="inlineStr">
        <is>
          <t>Title</t>
        </is>
      </c>
      <c r="C4" s="14" t="inlineStr">
        <is>
          <t>Target Keyword</t>
        </is>
      </c>
      <c r="D4" s="14" t="inlineStr">
        <is>
          <t>Type</t>
        </is>
      </c>
      <c r="E4" s="14" t="inlineStr">
        <is>
          <t>Word Count</t>
        </is>
      </c>
      <c r="F4" s="14" t="inlineStr">
        <is>
          <t>Author</t>
        </is>
      </c>
      <c r="G4" s="14" t="inlineStr">
        <is>
          <t>Status</t>
        </is>
      </c>
      <c r="H4" s="14" t="inlineStr">
        <is>
          <t>Publish Date</t>
        </is>
      </c>
      <c r="I4" s="14" t="inlineStr">
        <is>
          <t>URL</t>
        </is>
      </c>
      <c r="K4" s="3" t="inlineStr">
        <is>
          <t>CONTENT SUMMARY</t>
        </is>
      </c>
    </row>
    <row r="5">
      <c r="A5" s="18" t="inlineStr">
        <is>
          <t>crownseoagency.com</t>
        </is>
      </c>
      <c r="B5" s="18" t="inlineStr">
        <is>
          <t>The 2026 Local SEO Checklist</t>
        </is>
      </c>
      <c r="C5" s="18" t="inlineStr">
        <is>
          <t>local seo checklist</t>
        </is>
      </c>
      <c r="D5" s="18" t="inlineStr">
        <is>
          <t>Blog Post</t>
        </is>
      </c>
      <c r="E5" s="18" t="n">
        <v>1800</v>
      </c>
      <c r="F5" s="18" t="inlineStr">
        <is>
          <t>Partner 1</t>
        </is>
      </c>
      <c r="G5" s="18" t="inlineStr">
        <is>
          <t>Published</t>
        </is>
      </c>
      <c r="H5" s="18" t="inlineStr">
        <is>
          <t>2026-08-14</t>
        </is>
      </c>
      <c r="I5" s="18" t="inlineStr">
        <is>
          <t>https://...</t>
        </is>
      </c>
      <c r="K5" s="14" t="inlineStr">
        <is>
          <t>Site</t>
        </is>
      </c>
      <c r="L5" s="14" t="inlineStr">
        <is>
          <t>Published</t>
        </is>
      </c>
      <c r="M5" s="14" t="inlineStr">
        <is>
          <t>In Pipeline</t>
        </is>
      </c>
    </row>
    <row r="6">
      <c r="A6" s="18" t="inlineStr">
        <is>
          <t>badassbacklinks.com</t>
        </is>
      </c>
      <c r="B6" s="18" t="inlineStr">
        <is>
          <t>How to Vet a Backlink Vendor</t>
        </is>
      </c>
      <c r="C6" s="18" t="inlineStr">
        <is>
          <t>buy backlinks safely</t>
        </is>
      </c>
      <c r="D6" s="18" t="inlineStr">
        <is>
          <t>Blog Post</t>
        </is>
      </c>
      <c r="E6" s="18" t="n">
        <v>2200</v>
      </c>
      <c r="F6" s="18" t="inlineStr">
        <is>
          <t>Partner 2</t>
        </is>
      </c>
      <c r="G6" s="18" t="inlineStr">
        <is>
          <t>Draft</t>
        </is>
      </c>
      <c r="H6" s="18" t="inlineStr"/>
      <c r="I6" s="18" t="inlineStr"/>
      <c r="K6" s="21" t="inlineStr">
        <is>
          <t>crownseoagency.com</t>
        </is>
      </c>
      <c r="L6" s="22">
        <f>COUNTIFS($A$5:$A$104,K6,$G$5:$G$104,"Published")</f>
        <v/>
      </c>
      <c r="M6" s="22">
        <f>COUNTIFS($A$5:$A$104,K6)-COUNTIFS($A$5:$A$104,K6,$G$5:$G$104,"Published")</f>
        <v/>
      </c>
    </row>
    <row r="7">
      <c r="A7" s="18" t="inlineStr">
        <is>
          <t>crownseoagency.com</t>
        </is>
      </c>
      <c r="B7" s="18" t="inlineStr">
        <is>
          <t>Services — SEO Audits</t>
        </is>
      </c>
      <c r="C7" s="18" t="inlineStr">
        <is>
          <t>seo audit service</t>
        </is>
      </c>
      <c r="D7" s="18" t="inlineStr">
        <is>
          <t>Landing Page</t>
        </is>
      </c>
      <c r="E7" s="18" t="n">
        <v>900</v>
      </c>
      <c r="F7" s="18" t="inlineStr">
        <is>
          <t>Partner 3</t>
        </is>
      </c>
      <c r="G7" s="18" t="inlineStr">
        <is>
          <t>Idea</t>
        </is>
      </c>
      <c r="H7" s="18" t="inlineStr"/>
      <c r="I7" s="18" t="inlineStr"/>
      <c r="K7" s="21" t="inlineStr">
        <is>
          <t>badassbacklinks.com</t>
        </is>
      </c>
      <c r="L7" s="22">
        <f>COUNTIFS($A$5:$A$104,K7,$G$5:$G$104,"Published")</f>
        <v/>
      </c>
      <c r="M7" s="22">
        <f>COUNTIFS($A$5:$A$104,K7)-COUNTIFS($A$5:$A$104,K7,$G$5:$G$104,"Published")</f>
        <v/>
      </c>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1">
      <c r="A31" s="18" t="n"/>
      <c r="B31" s="18" t="n"/>
      <c r="C31" s="18" t="n"/>
      <c r="D31" s="18" t="n"/>
      <c r="E31" s="18" t="n"/>
      <c r="F31" s="18" t="n"/>
      <c r="G31" s="18" t="n"/>
      <c r="H31" s="18" t="n"/>
      <c r="I31" s="18" t="n"/>
    </row>
    <row r="32">
      <c r="A32" s="18" t="n"/>
      <c r="B32" s="18" t="n"/>
      <c r="C32" s="18" t="n"/>
      <c r="D32" s="18" t="n"/>
      <c r="E32" s="18" t="n"/>
      <c r="F32" s="18" t="n"/>
      <c r="G32" s="18" t="n"/>
      <c r="H32" s="18" t="n"/>
      <c r="I32" s="18" t="n"/>
    </row>
    <row r="33">
      <c r="A33" s="18" t="n"/>
      <c r="B33" s="18" t="n"/>
      <c r="C33" s="18" t="n"/>
      <c r="D33" s="18" t="n"/>
      <c r="E33" s="18" t="n"/>
      <c r="F33" s="18" t="n"/>
      <c r="G33" s="18" t="n"/>
      <c r="H33" s="18" t="n"/>
      <c r="I33" s="18" t="n"/>
    </row>
    <row r="34">
      <c r="A34" s="18" t="n"/>
      <c r="B34" s="18" t="n"/>
      <c r="C34" s="18" t="n"/>
      <c r="D34" s="18" t="n"/>
      <c r="E34" s="18" t="n"/>
      <c r="F34" s="18" t="n"/>
      <c r="G34" s="18" t="n"/>
      <c r="H34" s="18" t="n"/>
      <c r="I34" s="18" t="n"/>
    </row>
    <row r="35">
      <c r="A35" s="18" t="n"/>
      <c r="B35" s="18" t="n"/>
      <c r="C35" s="18" t="n"/>
      <c r="D35" s="18" t="n"/>
      <c r="E35" s="18" t="n"/>
      <c r="F35" s="18" t="n"/>
      <c r="G35" s="18" t="n"/>
      <c r="H35" s="18" t="n"/>
      <c r="I35" s="18" t="n"/>
    </row>
    <row r="36">
      <c r="A36" s="18" t="n"/>
      <c r="B36" s="18" t="n"/>
      <c r="C36" s="18" t="n"/>
      <c r="D36" s="18" t="n"/>
      <c r="E36" s="18" t="n"/>
      <c r="F36" s="18" t="n"/>
      <c r="G36" s="18" t="n"/>
      <c r="H36" s="18" t="n"/>
      <c r="I36" s="18" t="n"/>
    </row>
    <row r="37">
      <c r="A37" s="18" t="n"/>
      <c r="B37" s="18" t="n"/>
      <c r="C37" s="18" t="n"/>
      <c r="D37" s="18" t="n"/>
      <c r="E37" s="18" t="n"/>
      <c r="F37" s="18" t="n"/>
      <c r="G37" s="18" t="n"/>
      <c r="H37" s="18" t="n"/>
      <c r="I37" s="18" t="n"/>
    </row>
    <row r="38">
      <c r="A38" s="18" t="n"/>
      <c r="B38" s="18" t="n"/>
      <c r="C38" s="18" t="n"/>
      <c r="D38" s="18" t="n"/>
      <c r="E38" s="18" t="n"/>
      <c r="F38" s="18" t="n"/>
      <c r="G38" s="18" t="n"/>
      <c r="H38" s="18" t="n"/>
      <c r="I38" s="18" t="n"/>
    </row>
    <row r="39">
      <c r="A39" s="18" t="n"/>
      <c r="B39" s="18" t="n"/>
      <c r="C39" s="18" t="n"/>
      <c r="D39" s="18" t="n"/>
      <c r="E39" s="18" t="n"/>
      <c r="F39" s="18" t="n"/>
      <c r="G39" s="18" t="n"/>
      <c r="H39" s="18" t="n"/>
      <c r="I39" s="18" t="n"/>
    </row>
    <row r="40">
      <c r="A40" s="18" t="n"/>
      <c r="B40" s="18" t="n"/>
      <c r="C40" s="18" t="n"/>
      <c r="D40" s="18" t="n"/>
      <c r="E40" s="18" t="n"/>
      <c r="F40" s="18" t="n"/>
      <c r="G40" s="18" t="n"/>
      <c r="H40" s="18" t="n"/>
      <c r="I40" s="18" t="n"/>
    </row>
    <row r="41">
      <c r="A41" s="18" t="n"/>
      <c r="B41" s="18" t="n"/>
      <c r="C41" s="18" t="n"/>
      <c r="D41" s="18" t="n"/>
      <c r="E41" s="18" t="n"/>
      <c r="F41" s="18" t="n"/>
      <c r="G41" s="18" t="n"/>
      <c r="H41" s="18" t="n"/>
      <c r="I41" s="18" t="n"/>
    </row>
    <row r="42">
      <c r="A42" s="18" t="n"/>
      <c r="B42" s="18" t="n"/>
      <c r="C42" s="18" t="n"/>
      <c r="D42" s="18" t="n"/>
      <c r="E42" s="18" t="n"/>
      <c r="F42" s="18" t="n"/>
      <c r="G42" s="18" t="n"/>
      <c r="H42" s="18" t="n"/>
      <c r="I42" s="18" t="n"/>
    </row>
    <row r="43">
      <c r="A43" s="18" t="n"/>
      <c r="B43" s="18" t="n"/>
      <c r="C43" s="18" t="n"/>
      <c r="D43" s="18" t="n"/>
      <c r="E43" s="18" t="n"/>
      <c r="F43" s="18" t="n"/>
      <c r="G43" s="18" t="n"/>
      <c r="H43" s="18" t="n"/>
      <c r="I43" s="18" t="n"/>
    </row>
    <row r="44">
      <c r="A44" s="18" t="n"/>
      <c r="B44" s="18" t="n"/>
      <c r="C44" s="18" t="n"/>
      <c r="D44" s="18" t="n"/>
      <c r="E44" s="18" t="n"/>
      <c r="F44" s="18" t="n"/>
      <c r="G44" s="18" t="n"/>
      <c r="H44" s="18" t="n"/>
      <c r="I44" s="18" t="n"/>
    </row>
    <row r="45">
      <c r="A45" s="18" t="n"/>
      <c r="B45" s="18" t="n"/>
      <c r="C45" s="18" t="n"/>
      <c r="D45" s="18" t="n"/>
      <c r="E45" s="18" t="n"/>
      <c r="F45" s="18" t="n"/>
      <c r="G45" s="18" t="n"/>
      <c r="H45" s="18" t="n"/>
      <c r="I45" s="18" t="n"/>
    </row>
    <row r="46">
      <c r="A46" s="18" t="n"/>
      <c r="B46" s="18" t="n"/>
      <c r="C46" s="18" t="n"/>
      <c r="D46" s="18" t="n"/>
      <c r="E46" s="18" t="n"/>
      <c r="F46" s="18" t="n"/>
      <c r="G46" s="18" t="n"/>
      <c r="H46" s="18" t="n"/>
      <c r="I46" s="18" t="n"/>
    </row>
    <row r="47">
      <c r="A47" s="18" t="n"/>
      <c r="B47" s="18" t="n"/>
      <c r="C47" s="18" t="n"/>
      <c r="D47" s="18" t="n"/>
      <c r="E47" s="18" t="n"/>
      <c r="F47" s="18" t="n"/>
      <c r="G47" s="18" t="n"/>
      <c r="H47" s="18" t="n"/>
      <c r="I47" s="18" t="n"/>
    </row>
    <row r="48">
      <c r="A48" s="18" t="n"/>
      <c r="B48" s="18" t="n"/>
      <c r="C48" s="18" t="n"/>
      <c r="D48" s="18" t="n"/>
      <c r="E48" s="18" t="n"/>
      <c r="F48" s="18" t="n"/>
      <c r="G48" s="18" t="n"/>
      <c r="H48" s="18" t="n"/>
      <c r="I48" s="18" t="n"/>
    </row>
    <row r="49">
      <c r="A49" s="18" t="n"/>
      <c r="B49" s="18" t="n"/>
      <c r="C49" s="18" t="n"/>
      <c r="D49" s="18" t="n"/>
      <c r="E49" s="18" t="n"/>
      <c r="F49" s="18" t="n"/>
      <c r="G49" s="18" t="n"/>
      <c r="H49" s="18" t="n"/>
      <c r="I49" s="18" t="n"/>
    </row>
    <row r="50">
      <c r="A50" s="18" t="n"/>
      <c r="B50" s="18" t="n"/>
      <c r="C50" s="18" t="n"/>
      <c r="D50" s="18" t="n"/>
      <c r="E50" s="18" t="n"/>
      <c r="F50" s="18" t="n"/>
      <c r="G50" s="18" t="n"/>
      <c r="H50" s="18" t="n"/>
      <c r="I50" s="18" t="n"/>
    </row>
    <row r="51">
      <c r="A51" s="18" t="n"/>
      <c r="B51" s="18" t="n"/>
      <c r="C51" s="18" t="n"/>
      <c r="D51" s="18" t="n"/>
      <c r="E51" s="18" t="n"/>
      <c r="F51" s="18" t="n"/>
      <c r="G51" s="18" t="n"/>
      <c r="H51" s="18" t="n"/>
      <c r="I51" s="18" t="n"/>
    </row>
    <row r="52">
      <c r="A52" s="18" t="n"/>
      <c r="B52" s="18" t="n"/>
      <c r="C52" s="18" t="n"/>
      <c r="D52" s="18" t="n"/>
      <c r="E52" s="18" t="n"/>
      <c r="F52" s="18" t="n"/>
      <c r="G52" s="18" t="n"/>
      <c r="H52" s="18" t="n"/>
      <c r="I52" s="18" t="n"/>
    </row>
    <row r="53">
      <c r="A53" s="18" t="n"/>
      <c r="B53" s="18" t="n"/>
      <c r="C53" s="18" t="n"/>
      <c r="D53" s="18" t="n"/>
      <c r="E53" s="18" t="n"/>
      <c r="F53" s="18" t="n"/>
      <c r="G53" s="18" t="n"/>
      <c r="H53" s="18" t="n"/>
      <c r="I53" s="18" t="n"/>
    </row>
    <row r="54">
      <c r="A54" s="18" t="n"/>
      <c r="B54" s="18" t="n"/>
      <c r="C54" s="18" t="n"/>
      <c r="D54" s="18" t="n"/>
      <c r="E54" s="18" t="n"/>
      <c r="F54" s="18" t="n"/>
      <c r="G54" s="18" t="n"/>
      <c r="H54" s="18" t="n"/>
      <c r="I54" s="18" t="n"/>
    </row>
    <row r="55">
      <c r="A55" s="18" t="n"/>
      <c r="B55" s="18" t="n"/>
      <c r="C55" s="18" t="n"/>
      <c r="D55" s="18" t="n"/>
      <c r="E55" s="18" t="n"/>
      <c r="F55" s="18" t="n"/>
      <c r="G55" s="18" t="n"/>
      <c r="H55" s="18" t="n"/>
      <c r="I55" s="18" t="n"/>
    </row>
    <row r="56">
      <c r="A56" s="18" t="n"/>
      <c r="B56" s="18" t="n"/>
      <c r="C56" s="18" t="n"/>
      <c r="D56" s="18" t="n"/>
      <c r="E56" s="18" t="n"/>
      <c r="F56" s="18" t="n"/>
      <c r="G56" s="18" t="n"/>
      <c r="H56" s="18" t="n"/>
      <c r="I56" s="18" t="n"/>
    </row>
    <row r="57">
      <c r="A57" s="18" t="n"/>
      <c r="B57" s="18" t="n"/>
      <c r="C57" s="18" t="n"/>
      <c r="D57" s="18" t="n"/>
      <c r="E57" s="18" t="n"/>
      <c r="F57" s="18" t="n"/>
      <c r="G57" s="18" t="n"/>
      <c r="H57" s="18" t="n"/>
      <c r="I57" s="18" t="n"/>
    </row>
    <row r="58">
      <c r="A58" s="18" t="n"/>
      <c r="B58" s="18" t="n"/>
      <c r="C58" s="18" t="n"/>
      <c r="D58" s="18" t="n"/>
      <c r="E58" s="18" t="n"/>
      <c r="F58" s="18" t="n"/>
      <c r="G58" s="18" t="n"/>
      <c r="H58" s="18" t="n"/>
      <c r="I58" s="18" t="n"/>
    </row>
    <row r="59">
      <c r="A59" s="18" t="n"/>
      <c r="B59" s="18" t="n"/>
      <c r="C59" s="18" t="n"/>
      <c r="D59" s="18" t="n"/>
      <c r="E59" s="18" t="n"/>
      <c r="F59" s="18" t="n"/>
      <c r="G59" s="18" t="n"/>
      <c r="H59" s="18" t="n"/>
      <c r="I59" s="18" t="n"/>
    </row>
    <row r="60">
      <c r="A60" s="18" t="n"/>
      <c r="B60" s="18" t="n"/>
      <c r="C60" s="18" t="n"/>
      <c r="D60" s="18" t="n"/>
      <c r="E60" s="18" t="n"/>
      <c r="F60" s="18" t="n"/>
      <c r="G60" s="18" t="n"/>
      <c r="H60" s="18" t="n"/>
      <c r="I60" s="18" t="n"/>
    </row>
    <row r="61">
      <c r="A61" s="18" t="n"/>
      <c r="B61" s="18" t="n"/>
      <c r="C61" s="18" t="n"/>
      <c r="D61" s="18" t="n"/>
      <c r="E61" s="18" t="n"/>
      <c r="F61" s="18" t="n"/>
      <c r="G61" s="18" t="n"/>
      <c r="H61" s="18" t="n"/>
      <c r="I61" s="18" t="n"/>
    </row>
    <row r="62">
      <c r="A62" s="18" t="n"/>
      <c r="B62" s="18" t="n"/>
      <c r="C62" s="18" t="n"/>
      <c r="D62" s="18" t="n"/>
      <c r="E62" s="18" t="n"/>
      <c r="F62" s="18" t="n"/>
      <c r="G62" s="18" t="n"/>
      <c r="H62" s="18" t="n"/>
      <c r="I62" s="18" t="n"/>
    </row>
    <row r="63">
      <c r="A63" s="18" t="n"/>
      <c r="B63" s="18" t="n"/>
      <c r="C63" s="18" t="n"/>
      <c r="D63" s="18" t="n"/>
      <c r="E63" s="18" t="n"/>
      <c r="F63" s="18" t="n"/>
      <c r="G63" s="18" t="n"/>
      <c r="H63" s="18" t="n"/>
      <c r="I63" s="18" t="n"/>
    </row>
    <row r="64">
      <c r="A64" s="18" t="n"/>
      <c r="B64" s="18" t="n"/>
      <c r="C64" s="18" t="n"/>
      <c r="D64" s="18" t="n"/>
      <c r="E64" s="18" t="n"/>
      <c r="F64" s="18" t="n"/>
      <c r="G64" s="18" t="n"/>
      <c r="H64" s="18" t="n"/>
      <c r="I64" s="18" t="n"/>
    </row>
    <row r="65">
      <c r="A65" s="18" t="n"/>
      <c r="B65" s="18" t="n"/>
      <c r="C65" s="18" t="n"/>
      <c r="D65" s="18" t="n"/>
      <c r="E65" s="18" t="n"/>
      <c r="F65" s="18" t="n"/>
      <c r="G65" s="18" t="n"/>
      <c r="H65" s="18" t="n"/>
      <c r="I65" s="18" t="n"/>
    </row>
    <row r="66">
      <c r="A66" s="18" t="n"/>
      <c r="B66" s="18" t="n"/>
      <c r="C66" s="18" t="n"/>
      <c r="D66" s="18" t="n"/>
      <c r="E66" s="18" t="n"/>
      <c r="F66" s="18" t="n"/>
      <c r="G66" s="18" t="n"/>
      <c r="H66" s="18" t="n"/>
      <c r="I66" s="18" t="n"/>
    </row>
    <row r="67">
      <c r="A67" s="18" t="n"/>
      <c r="B67" s="18" t="n"/>
      <c r="C67" s="18" t="n"/>
      <c r="D67" s="18" t="n"/>
      <c r="E67" s="18" t="n"/>
      <c r="F67" s="18" t="n"/>
      <c r="G67" s="18" t="n"/>
      <c r="H67" s="18" t="n"/>
      <c r="I67" s="18" t="n"/>
    </row>
    <row r="68">
      <c r="A68" s="18" t="n"/>
      <c r="B68" s="18" t="n"/>
      <c r="C68" s="18" t="n"/>
      <c r="D68" s="18" t="n"/>
      <c r="E68" s="18" t="n"/>
      <c r="F68" s="18" t="n"/>
      <c r="G68" s="18" t="n"/>
      <c r="H68" s="18" t="n"/>
      <c r="I68" s="18" t="n"/>
    </row>
    <row r="69">
      <c r="A69" s="18" t="n"/>
      <c r="B69" s="18" t="n"/>
      <c r="C69" s="18" t="n"/>
      <c r="D69" s="18" t="n"/>
      <c r="E69" s="18" t="n"/>
      <c r="F69" s="18" t="n"/>
      <c r="G69" s="18" t="n"/>
      <c r="H69" s="18" t="n"/>
      <c r="I69" s="18" t="n"/>
    </row>
    <row r="70">
      <c r="A70" s="18" t="n"/>
      <c r="B70" s="18" t="n"/>
      <c r="C70" s="18" t="n"/>
      <c r="D70" s="18" t="n"/>
      <c r="E70" s="18" t="n"/>
      <c r="F70" s="18" t="n"/>
      <c r="G70" s="18" t="n"/>
      <c r="H70" s="18" t="n"/>
      <c r="I70" s="18" t="n"/>
    </row>
    <row r="71">
      <c r="A71" s="18" t="n"/>
      <c r="B71" s="18" t="n"/>
      <c r="C71" s="18" t="n"/>
      <c r="D71" s="18" t="n"/>
      <c r="E71" s="18" t="n"/>
      <c r="F71" s="18" t="n"/>
      <c r="G71" s="18" t="n"/>
      <c r="H71" s="18" t="n"/>
      <c r="I71" s="18" t="n"/>
    </row>
    <row r="72">
      <c r="A72" s="18" t="n"/>
      <c r="B72" s="18" t="n"/>
      <c r="C72" s="18" t="n"/>
      <c r="D72" s="18" t="n"/>
      <c r="E72" s="18" t="n"/>
      <c r="F72" s="18" t="n"/>
      <c r="G72" s="18" t="n"/>
      <c r="H72" s="18" t="n"/>
      <c r="I72" s="18" t="n"/>
    </row>
    <row r="73">
      <c r="A73" s="18" t="n"/>
      <c r="B73" s="18" t="n"/>
      <c r="C73" s="18" t="n"/>
      <c r="D73" s="18" t="n"/>
      <c r="E73" s="18" t="n"/>
      <c r="F73" s="18" t="n"/>
      <c r="G73" s="18" t="n"/>
      <c r="H73" s="18" t="n"/>
      <c r="I73" s="18" t="n"/>
    </row>
    <row r="74">
      <c r="A74" s="18" t="n"/>
      <c r="B74" s="18" t="n"/>
      <c r="C74" s="18" t="n"/>
      <c r="D74" s="18" t="n"/>
      <c r="E74" s="18" t="n"/>
      <c r="F74" s="18" t="n"/>
      <c r="G74" s="18" t="n"/>
      <c r="H74" s="18" t="n"/>
      <c r="I74" s="18" t="n"/>
    </row>
    <row r="75">
      <c r="A75" s="18" t="n"/>
      <c r="B75" s="18" t="n"/>
      <c r="C75" s="18" t="n"/>
      <c r="D75" s="18" t="n"/>
      <c r="E75" s="18" t="n"/>
      <c r="F75" s="18" t="n"/>
      <c r="G75" s="18" t="n"/>
      <c r="H75" s="18" t="n"/>
      <c r="I75" s="18" t="n"/>
    </row>
    <row r="76">
      <c r="A76" s="18" t="n"/>
      <c r="B76" s="18" t="n"/>
      <c r="C76" s="18" t="n"/>
      <c r="D76" s="18" t="n"/>
      <c r="E76" s="18" t="n"/>
      <c r="F76" s="18" t="n"/>
      <c r="G76" s="18" t="n"/>
      <c r="H76" s="18" t="n"/>
      <c r="I76" s="18" t="n"/>
    </row>
    <row r="77">
      <c r="A77" s="18" t="n"/>
      <c r="B77" s="18" t="n"/>
      <c r="C77" s="18" t="n"/>
      <c r="D77" s="18" t="n"/>
      <c r="E77" s="18" t="n"/>
      <c r="F77" s="18" t="n"/>
      <c r="G77" s="18" t="n"/>
      <c r="H77" s="18" t="n"/>
      <c r="I77" s="18" t="n"/>
    </row>
    <row r="78">
      <c r="A78" s="18" t="n"/>
      <c r="B78" s="18" t="n"/>
      <c r="C78" s="18" t="n"/>
      <c r="D78" s="18" t="n"/>
      <c r="E78" s="18" t="n"/>
      <c r="F78" s="18" t="n"/>
      <c r="G78" s="18" t="n"/>
      <c r="H78" s="18" t="n"/>
      <c r="I78" s="18" t="n"/>
    </row>
    <row r="79">
      <c r="A79" s="18" t="n"/>
      <c r="B79" s="18" t="n"/>
      <c r="C79" s="18" t="n"/>
      <c r="D79" s="18" t="n"/>
      <c r="E79" s="18" t="n"/>
      <c r="F79" s="18" t="n"/>
      <c r="G79" s="18" t="n"/>
      <c r="H79" s="18" t="n"/>
      <c r="I79" s="18" t="n"/>
    </row>
    <row r="80">
      <c r="A80" s="18" t="n"/>
      <c r="B80" s="18" t="n"/>
      <c r="C80" s="18" t="n"/>
      <c r="D80" s="18" t="n"/>
      <c r="E80" s="18" t="n"/>
      <c r="F80" s="18" t="n"/>
      <c r="G80" s="18" t="n"/>
      <c r="H80" s="18" t="n"/>
      <c r="I80" s="18" t="n"/>
    </row>
    <row r="81">
      <c r="A81" s="18" t="n"/>
      <c r="B81" s="18" t="n"/>
      <c r="C81" s="18" t="n"/>
      <c r="D81" s="18" t="n"/>
      <c r="E81" s="18" t="n"/>
      <c r="F81" s="18" t="n"/>
      <c r="G81" s="18" t="n"/>
      <c r="H81" s="18" t="n"/>
      <c r="I81" s="18" t="n"/>
    </row>
    <row r="82">
      <c r="A82" s="18" t="n"/>
      <c r="B82" s="18" t="n"/>
      <c r="C82" s="18" t="n"/>
      <c r="D82" s="18" t="n"/>
      <c r="E82" s="18" t="n"/>
      <c r="F82" s="18" t="n"/>
      <c r="G82" s="18" t="n"/>
      <c r="H82" s="18" t="n"/>
      <c r="I82" s="18" t="n"/>
    </row>
    <row r="83">
      <c r="A83" s="18" t="n"/>
      <c r="B83" s="18" t="n"/>
      <c r="C83" s="18" t="n"/>
      <c r="D83" s="18" t="n"/>
      <c r="E83" s="18" t="n"/>
      <c r="F83" s="18" t="n"/>
      <c r="G83" s="18" t="n"/>
      <c r="H83" s="18" t="n"/>
      <c r="I83" s="18" t="n"/>
    </row>
    <row r="84">
      <c r="A84" s="18" t="n"/>
      <c r="B84" s="18" t="n"/>
      <c r="C84" s="18" t="n"/>
      <c r="D84" s="18" t="n"/>
      <c r="E84" s="18" t="n"/>
      <c r="F84" s="18" t="n"/>
      <c r="G84" s="18" t="n"/>
      <c r="H84" s="18" t="n"/>
      <c r="I84" s="18" t="n"/>
    </row>
    <row r="85">
      <c r="A85" s="18" t="n"/>
      <c r="B85" s="18" t="n"/>
      <c r="C85" s="18" t="n"/>
      <c r="D85" s="18" t="n"/>
      <c r="E85" s="18" t="n"/>
      <c r="F85" s="18" t="n"/>
      <c r="G85" s="18" t="n"/>
      <c r="H85" s="18" t="n"/>
      <c r="I85" s="18" t="n"/>
    </row>
    <row r="86">
      <c r="A86" s="18" t="n"/>
      <c r="B86" s="18" t="n"/>
      <c r="C86" s="18" t="n"/>
      <c r="D86" s="18" t="n"/>
      <c r="E86" s="18" t="n"/>
      <c r="F86" s="18" t="n"/>
      <c r="G86" s="18" t="n"/>
      <c r="H86" s="18" t="n"/>
      <c r="I86" s="18" t="n"/>
    </row>
    <row r="87">
      <c r="A87" s="18" t="n"/>
      <c r="B87" s="18" t="n"/>
      <c r="C87" s="18" t="n"/>
      <c r="D87" s="18" t="n"/>
      <c r="E87" s="18" t="n"/>
      <c r="F87" s="18" t="n"/>
      <c r="G87" s="18" t="n"/>
      <c r="H87" s="18" t="n"/>
      <c r="I87" s="18" t="n"/>
    </row>
    <row r="88">
      <c r="A88" s="18" t="n"/>
      <c r="B88" s="18" t="n"/>
      <c r="C88" s="18" t="n"/>
      <c r="D88" s="18" t="n"/>
      <c r="E88" s="18" t="n"/>
      <c r="F88" s="18" t="n"/>
      <c r="G88" s="18" t="n"/>
      <c r="H88" s="18" t="n"/>
      <c r="I88" s="18" t="n"/>
    </row>
    <row r="89">
      <c r="A89" s="18" t="n"/>
      <c r="B89" s="18" t="n"/>
      <c r="C89" s="18" t="n"/>
      <c r="D89" s="18" t="n"/>
      <c r="E89" s="18" t="n"/>
      <c r="F89" s="18" t="n"/>
      <c r="G89" s="18" t="n"/>
      <c r="H89" s="18" t="n"/>
      <c r="I89" s="18" t="n"/>
    </row>
    <row r="90">
      <c r="A90" s="18" t="n"/>
      <c r="B90" s="18" t="n"/>
      <c r="C90" s="18" t="n"/>
      <c r="D90" s="18" t="n"/>
      <c r="E90" s="18" t="n"/>
      <c r="F90" s="18" t="n"/>
      <c r="G90" s="18" t="n"/>
      <c r="H90" s="18" t="n"/>
      <c r="I90" s="18" t="n"/>
    </row>
    <row r="91">
      <c r="A91" s="18" t="n"/>
      <c r="B91" s="18" t="n"/>
      <c r="C91" s="18" t="n"/>
      <c r="D91" s="18" t="n"/>
      <c r="E91" s="18" t="n"/>
      <c r="F91" s="18" t="n"/>
      <c r="G91" s="18" t="n"/>
      <c r="H91" s="18" t="n"/>
      <c r="I91" s="18" t="n"/>
    </row>
    <row r="92">
      <c r="A92" s="18" t="n"/>
      <c r="B92" s="18" t="n"/>
      <c r="C92" s="18" t="n"/>
      <c r="D92" s="18" t="n"/>
      <c r="E92" s="18" t="n"/>
      <c r="F92" s="18" t="n"/>
      <c r="G92" s="18" t="n"/>
      <c r="H92" s="18" t="n"/>
      <c r="I92" s="18" t="n"/>
    </row>
    <row r="93">
      <c r="A93" s="18" t="n"/>
      <c r="B93" s="18" t="n"/>
      <c r="C93" s="18" t="n"/>
      <c r="D93" s="18" t="n"/>
      <c r="E93" s="18" t="n"/>
      <c r="F93" s="18" t="n"/>
      <c r="G93" s="18" t="n"/>
      <c r="H93" s="18" t="n"/>
      <c r="I93" s="18" t="n"/>
    </row>
    <row r="94">
      <c r="A94" s="18" t="n"/>
      <c r="B94" s="18" t="n"/>
      <c r="C94" s="18" t="n"/>
      <c r="D94" s="18" t="n"/>
      <c r="E94" s="18" t="n"/>
      <c r="F94" s="18" t="n"/>
      <c r="G94" s="18" t="n"/>
      <c r="H94" s="18" t="n"/>
      <c r="I94" s="18" t="n"/>
    </row>
    <row r="95">
      <c r="A95" s="18" t="n"/>
      <c r="B95" s="18" t="n"/>
      <c r="C95" s="18" t="n"/>
      <c r="D95" s="18" t="n"/>
      <c r="E95" s="18" t="n"/>
      <c r="F95" s="18" t="n"/>
      <c r="G95" s="18" t="n"/>
      <c r="H95" s="18" t="n"/>
      <c r="I95" s="18" t="n"/>
    </row>
    <row r="96">
      <c r="A96" s="18" t="n"/>
      <c r="B96" s="18" t="n"/>
      <c r="C96" s="18" t="n"/>
      <c r="D96" s="18" t="n"/>
      <c r="E96" s="18" t="n"/>
      <c r="F96" s="18" t="n"/>
      <c r="G96" s="18" t="n"/>
      <c r="H96" s="18" t="n"/>
      <c r="I96" s="18" t="n"/>
    </row>
    <row r="97">
      <c r="A97" s="18" t="n"/>
      <c r="B97" s="18" t="n"/>
      <c r="C97" s="18" t="n"/>
      <c r="D97" s="18" t="n"/>
      <c r="E97" s="18" t="n"/>
      <c r="F97" s="18" t="n"/>
      <c r="G97" s="18" t="n"/>
      <c r="H97" s="18" t="n"/>
      <c r="I97" s="18" t="n"/>
    </row>
    <row r="98">
      <c r="A98" s="18" t="n"/>
      <c r="B98" s="18" t="n"/>
      <c r="C98" s="18" t="n"/>
      <c r="D98" s="18" t="n"/>
      <c r="E98" s="18" t="n"/>
      <c r="F98" s="18" t="n"/>
      <c r="G98" s="18" t="n"/>
      <c r="H98" s="18" t="n"/>
      <c r="I98" s="18" t="n"/>
    </row>
    <row r="99">
      <c r="A99" s="18" t="n"/>
      <c r="B99" s="18" t="n"/>
      <c r="C99" s="18" t="n"/>
      <c r="D99" s="18" t="n"/>
      <c r="E99" s="18" t="n"/>
      <c r="F99" s="18" t="n"/>
      <c r="G99" s="18" t="n"/>
      <c r="H99" s="18" t="n"/>
      <c r="I99" s="18" t="n"/>
    </row>
    <row r="100">
      <c r="A100" s="18" t="n"/>
      <c r="B100" s="18" t="n"/>
      <c r="C100" s="18" t="n"/>
      <c r="D100" s="18" t="n"/>
      <c r="E100" s="18" t="n"/>
      <c r="F100" s="18" t="n"/>
      <c r="G100" s="18" t="n"/>
      <c r="H100" s="18" t="n"/>
      <c r="I100" s="18" t="n"/>
    </row>
    <row r="101">
      <c r="A101" s="18" t="n"/>
      <c r="B101" s="18" t="n"/>
      <c r="C101" s="18" t="n"/>
      <c r="D101" s="18" t="n"/>
      <c r="E101" s="18" t="n"/>
      <c r="F101" s="18" t="n"/>
      <c r="G101" s="18" t="n"/>
      <c r="H101" s="18" t="n"/>
      <c r="I101" s="18" t="n"/>
    </row>
    <row r="102">
      <c r="A102" s="18" t="n"/>
      <c r="B102" s="18" t="n"/>
      <c r="C102" s="18" t="n"/>
      <c r="D102" s="18" t="n"/>
      <c r="E102" s="18" t="n"/>
      <c r="F102" s="18" t="n"/>
      <c r="G102" s="18" t="n"/>
      <c r="H102" s="18" t="n"/>
      <c r="I102" s="18" t="n"/>
    </row>
    <row r="103">
      <c r="A103" s="18" t="n"/>
      <c r="B103" s="18" t="n"/>
      <c r="C103" s="18" t="n"/>
      <c r="D103" s="18" t="n"/>
      <c r="E103" s="18" t="n"/>
      <c r="F103" s="18" t="n"/>
      <c r="G103" s="18" t="n"/>
      <c r="H103" s="18" t="n"/>
      <c r="I103" s="18" t="n"/>
    </row>
    <row r="104">
      <c r="A104" s="18" t="n"/>
      <c r="B104" s="18" t="n"/>
      <c r="C104" s="18" t="n"/>
      <c r="D104" s="18" t="n"/>
      <c r="E104" s="18" t="n"/>
      <c r="F104" s="18" t="n"/>
      <c r="G104" s="18" t="n"/>
      <c r="H104" s="18" t="n"/>
      <c r="I104" s="18" t="n"/>
    </row>
  </sheetData>
  <autoFilter ref="A4:I104"/>
  <mergeCells count="2">
    <mergeCell ref="A1:I1"/>
    <mergeCell ref="A2:I2"/>
  </mergeCells>
  <dataValidations count="4">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showDropDown="0" showInputMessage="0" showErrorMessage="0" allowBlank="1" type="list">
      <formula1>"crownseoagency.com,badassbacklinks.com"</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type="list">
      <formula1>"Blog Post,Landing Page,Pillar Page,Guest Post,Product/Service,Other"</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1" type="list">
      <formula1>"Partner 1,Partner 2,Partner 3"</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"Idea,Outline,Draft,Review,Published,On Hold"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6"/>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20" customWidth="1" min="3" max="3"/>
    <col width="20" customWidth="1" min="4" max="4"/>
    <col width="12" customWidth="1" min="5" max="5"/>
    <col width="13" customWidth="1" min="6" max="6"/>
    <col width="12" customWidth="1" min="7" max="7"/>
    <col width="28" customWidth="1" min="8" max="8"/>
    <col width="16" customWidth="1" min="10" max="10"/>
    <col width="16" customWidth="1" min="11" max="11"/>
  </cols>
  <sheetData>
    <row r="1" ht="34" customHeight="1">
      <c r="A1" s="1" t="inlineStr">
        <is>
          <t>Content Distribution &amp; Repurposing</t>
        </is>
      </c>
    </row>
    <row r="2" ht="20" customHeight="1">
      <c r="A2" s="2" t="inlineStr">
        <is>
          <t>Every place a piece gets shared or reshaped. One article should spawn many rows here.</t>
        </is>
      </c>
    </row>
    <row r="4" ht="30" customHeight="1">
      <c r="A4" s="14" t="inlineStr">
        <is>
          <t>Source Content</t>
        </is>
      </c>
      <c r="B4" s="14" t="inlineStr">
        <is>
          <t>Site</t>
        </is>
      </c>
      <c r="C4" s="14" t="inlineStr">
        <is>
          <t>Channel / Platform</t>
        </is>
      </c>
      <c r="D4" s="14" t="inlineStr">
        <is>
          <t>Format</t>
        </is>
      </c>
      <c r="E4" s="14" t="inlineStr">
        <is>
          <t>Owner</t>
        </is>
      </c>
      <c r="F4" s="14" t="inlineStr">
        <is>
          <t>Status</t>
        </is>
      </c>
      <c r="G4" s="14" t="inlineStr">
        <is>
          <t>Date</t>
        </is>
      </c>
      <c r="H4" s="14" t="inlineStr">
        <is>
          <t>Link / URL</t>
        </is>
      </c>
      <c r="J4" s="3" t="inlineStr">
        <is>
          <t>PUBLISHED BY CHANNEL</t>
        </is>
      </c>
    </row>
    <row r="5">
      <c r="A5" s="18" t="inlineStr">
        <is>
          <t>The 2026 Local SEO Checklist</t>
        </is>
      </c>
      <c r="B5" s="18" t="inlineStr">
        <is>
          <t>crownseoagency.com</t>
        </is>
      </c>
      <c r="C5" s="18" t="inlineStr">
        <is>
          <t>LinkedIn</t>
        </is>
      </c>
      <c r="D5" s="18" t="inlineStr">
        <is>
          <t>Social Post</t>
        </is>
      </c>
      <c r="E5" s="18" t="inlineStr">
        <is>
          <t>Partner 1</t>
        </is>
      </c>
      <c r="F5" s="18" t="inlineStr">
        <is>
          <t>Published</t>
        </is>
      </c>
      <c r="G5" s="18" t="inlineStr">
        <is>
          <t>2026-08-15</t>
        </is>
      </c>
      <c r="H5" s="18" t="inlineStr">
        <is>
          <t>https://...</t>
        </is>
      </c>
      <c r="J5" s="14" t="inlineStr">
        <is>
          <t>Channel</t>
        </is>
      </c>
      <c r="K5" s="14" t="inlineStr">
        <is>
          <t>Published</t>
        </is>
      </c>
    </row>
    <row r="6">
      <c r="A6" s="18" t="inlineStr">
        <is>
          <t>The 2026 Local SEO Checklist</t>
        </is>
      </c>
      <c r="B6" s="18" t="inlineStr">
        <is>
          <t>crownseoagency.com</t>
        </is>
      </c>
      <c r="C6" s="18" t="inlineStr">
        <is>
          <t>X (Twitter)</t>
        </is>
      </c>
      <c r="D6" s="18" t="inlineStr">
        <is>
          <t>Thread</t>
        </is>
      </c>
      <c r="E6" s="18" t="inlineStr">
        <is>
          <t>Partner 1</t>
        </is>
      </c>
      <c r="F6" s="18" t="inlineStr">
        <is>
          <t>Scheduled</t>
        </is>
      </c>
      <c r="G6" s="18" t="inlineStr">
        <is>
          <t>2026-08-17</t>
        </is>
      </c>
      <c r="H6" s="18" t="inlineStr"/>
      <c r="J6" s="21" t="inlineStr">
        <is>
          <t>LinkedIn</t>
        </is>
      </c>
      <c r="K6" s="22">
        <f>COUNTIFS($C$5:$C$106,"LinkedIn",$F$5:$F$106,"Published")</f>
        <v/>
      </c>
    </row>
    <row r="7">
      <c r="A7" s="18" t="inlineStr">
        <is>
          <t>The 2026 Local SEO Checklist</t>
        </is>
      </c>
      <c r="B7" s="18" t="inlineStr">
        <is>
          <t>crownseoagency.com</t>
        </is>
      </c>
      <c r="C7" s="18" t="inlineStr">
        <is>
          <t>YouTube</t>
        </is>
      </c>
      <c r="D7" s="18" t="inlineStr">
        <is>
          <t>Short Video</t>
        </is>
      </c>
      <c r="E7" s="18" t="inlineStr">
        <is>
          <t>Partner 3</t>
        </is>
      </c>
      <c r="F7" s="18" t="inlineStr">
        <is>
          <t>Planned</t>
        </is>
      </c>
      <c r="G7" s="18" t="inlineStr"/>
      <c r="H7" s="18" t="inlineStr"/>
      <c r="J7" s="21" t="inlineStr">
        <is>
          <t>X (Twitter)</t>
        </is>
      </c>
      <c r="K7" s="22">
        <f>COUNTIFS($C$5:$C$106,"X (Twitter)",$F$5:$F$106,"Published")</f>
        <v/>
      </c>
    </row>
    <row r="8">
      <c r="A8" s="18" t="inlineStr">
        <is>
          <t>How to Vet a Backlink Vendor</t>
        </is>
      </c>
      <c r="B8" s="18" t="inlineStr">
        <is>
          <t>badassbacklinks.com</t>
        </is>
      </c>
      <c r="C8" s="18" t="inlineStr">
        <is>
          <t>Newsletter</t>
        </is>
      </c>
      <c r="D8" s="18" t="inlineStr">
        <is>
          <t>Email</t>
        </is>
      </c>
      <c r="E8" s="18" t="inlineStr">
        <is>
          <t>Partner 2</t>
        </is>
      </c>
      <c r="F8" s="18" t="inlineStr">
        <is>
          <t>Planned</t>
        </is>
      </c>
      <c r="G8" s="18" t="inlineStr"/>
      <c r="H8" s="18" t="inlineStr"/>
      <c r="J8" s="21" t="inlineStr">
        <is>
          <t>Facebook</t>
        </is>
      </c>
      <c r="K8" s="22">
        <f>COUNTIFS($C$5:$C$106,"Facebook",$F$5:$F$106,"Published")</f>
        <v/>
      </c>
    </row>
    <row r="9">
      <c r="A9" s="18" t="inlineStr">
        <is>
          <t>How to Vet a Backlink Vendor</t>
        </is>
      </c>
      <c r="B9" s="18" t="inlineStr">
        <is>
          <t>badassbacklinks.com</t>
        </is>
      </c>
      <c r="C9" s="18" t="inlineStr">
        <is>
          <t>Reddit</t>
        </is>
      </c>
      <c r="D9" s="18" t="inlineStr">
        <is>
          <t>Repurposed Article</t>
        </is>
      </c>
      <c r="E9" s="18" t="inlineStr">
        <is>
          <t>Partner 2</t>
        </is>
      </c>
      <c r="F9" s="18" t="inlineStr">
        <is>
          <t>Planned</t>
        </is>
      </c>
      <c r="G9" s="18" t="inlineStr"/>
      <c r="H9" s="18" t="inlineStr"/>
      <c r="J9" s="21" t="inlineStr">
        <is>
          <t>Instagram</t>
        </is>
      </c>
      <c r="K9" s="22">
        <f>COUNTIFS($C$5:$C$106,"Instagram",$F$5:$F$106,"Published")</f>
        <v/>
      </c>
    </row>
    <row r="10">
      <c r="A10" s="18" t="n"/>
      <c r="B10" s="18" t="n"/>
      <c r="C10" s="18" t="n"/>
      <c r="D10" s="18" t="n"/>
      <c r="E10" s="18" t="n"/>
      <c r="F10" s="18" t="n"/>
      <c r="G10" s="18" t="n"/>
      <c r="H10" s="18" t="n"/>
      <c r="J10" s="21" t="inlineStr">
        <is>
          <t>Reddit</t>
        </is>
      </c>
      <c r="K10" s="22">
        <f>COUNTIFS($C$5:$C$106,"Reddit",$F$5:$F$106,"Published")</f>
        <v/>
      </c>
    </row>
    <row r="11">
      <c r="A11" s="18" t="n"/>
      <c r="B11" s="18" t="n"/>
      <c r="C11" s="18" t="n"/>
      <c r="D11" s="18" t="n"/>
      <c r="E11" s="18" t="n"/>
      <c r="F11" s="18" t="n"/>
      <c r="G11" s="18" t="n"/>
      <c r="H11" s="18" t="n"/>
      <c r="J11" s="21" t="inlineStr">
        <is>
          <t>Newsletter</t>
        </is>
      </c>
      <c r="K11" s="22">
        <f>COUNTIFS($C$5:$C$106,"Newsletter",$F$5:$F$106,"Published")</f>
        <v/>
      </c>
    </row>
    <row r="12">
      <c r="A12" s="18" t="n"/>
      <c r="B12" s="18" t="n"/>
      <c r="C12" s="18" t="n"/>
      <c r="D12" s="18" t="n"/>
      <c r="E12" s="18" t="n"/>
      <c r="F12" s="18" t="n"/>
      <c r="G12" s="18" t="n"/>
      <c r="H12" s="18" t="n"/>
      <c r="J12" s="21" t="inlineStr">
        <is>
          <t>Medium</t>
        </is>
      </c>
      <c r="K12" s="22">
        <f>COUNTIFS($C$5:$C$106,"Medium",$F$5:$F$106,"Published")</f>
        <v/>
      </c>
    </row>
    <row r="13">
      <c r="A13" s="18" t="n"/>
      <c r="B13" s="18" t="n"/>
      <c r="C13" s="18" t="n"/>
      <c r="D13" s="18" t="n"/>
      <c r="E13" s="18" t="n"/>
      <c r="F13" s="18" t="n"/>
      <c r="G13" s="18" t="n"/>
      <c r="H13" s="18" t="n"/>
      <c r="J13" s="21" t="inlineStr">
        <is>
          <t>YouTube</t>
        </is>
      </c>
      <c r="K13" s="22">
        <f>COUNTIFS($C$5:$C$106,"YouTube",$F$5:$F$106,"Published")</f>
        <v/>
      </c>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row r="106">
      <c r="A106" s="18" t="n"/>
      <c r="B106" s="18" t="n"/>
      <c r="C106" s="18" t="n"/>
      <c r="D106" s="18" t="n"/>
      <c r="E106" s="18" t="n"/>
      <c r="F106" s="18" t="n"/>
      <c r="G106" s="18" t="n"/>
      <c r="H106" s="18" t="n"/>
    </row>
  </sheetData>
  <autoFilter ref="A4:H106"/>
  <mergeCells count="2">
    <mergeCell ref="A2:H2"/>
    <mergeCell ref="A1:H1"/>
  </mergeCells>
  <dataValidations count="5">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showDropDown="0" showInputMessage="0" showErrorMessage="0" allowBlank="1" type="list">
      <formula1>"crownseoagency.com,badassbacklinks.com"</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1" type="list">
      <formula1>"LinkedIn,X (Twitter),Facebook,Instagram,Reddit,Quora,Newsletter,Medium,YouTube,TikTok,Pinterest,Other"</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1" type="list">
      <formula1>"Social Post,Thread,Carousel,Short Video,Infographic,Email,Slide Deck,Podcast,Guest Post,Repurposed Article,Other"</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1" type="list">
      <formula1>"Partner 1,Partner 2,Partner 3"</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1" type="list">
      <formula1>"Planned,Scheduled,Published"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1"/>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15" customWidth="1" min="3" max="3"/>
    <col width="14" customWidth="1" min="4" max="4"/>
    <col width="13" customWidth="1" min="5" max="5"/>
    <col width="14" customWidth="1" min="6" max="6"/>
    <col width="15" customWidth="1" min="7" max="7"/>
    <col width="18" customWidth="1" min="8" max="8"/>
    <col width="26" customWidth="1" min="9" max="9"/>
  </cols>
  <sheetData>
    <row r="1" ht="34" customHeight="1">
      <c r="A1" s="1" t="inlineStr">
        <is>
          <t>Results Dashboard</t>
        </is>
      </c>
    </row>
    <row r="2" ht="20" customHeight="1">
      <c r="A2" s="2" t="inlineStr">
        <is>
          <t>Monthly outcomes per site. Pull numbers from Google Search Console / Analytics on the 1st.</t>
        </is>
      </c>
    </row>
    <row r="4" ht="30" customHeight="1">
      <c r="A4" s="14" t="inlineStr">
        <is>
          <t>Month</t>
        </is>
      </c>
      <c r="B4" s="14" t="inlineStr">
        <is>
          <t>Site</t>
        </is>
      </c>
      <c r="C4" s="14" t="inlineStr">
        <is>
          <t>Organic Clicks</t>
        </is>
      </c>
      <c r="D4" s="14" t="inlineStr">
        <is>
          <t>Impressions</t>
        </is>
      </c>
      <c r="E4" s="14" t="inlineStr">
        <is>
          <t>Avg Position</t>
        </is>
      </c>
      <c r="F4" s="14" t="inlineStr">
        <is>
          <t>Live Backlinks</t>
        </is>
      </c>
      <c r="G4" s="14" t="inlineStr">
        <is>
          <t>Keywords Top 10</t>
        </is>
      </c>
      <c r="H4" s="14" t="inlineStr">
        <is>
          <t>Leads / Conversions</t>
        </is>
      </c>
      <c r="I4" s="14" t="inlineStr">
        <is>
          <t>Notes</t>
        </is>
      </c>
    </row>
    <row r="5">
      <c r="A5" s="18" t="inlineStr">
        <is>
          <t>2026-07</t>
        </is>
      </c>
      <c r="B5" s="18" t="inlineStr">
        <is>
          <t>crownseoagency.com</t>
        </is>
      </c>
      <c r="C5" s="34" t="n">
        <v>420</v>
      </c>
      <c r="D5" s="34" t="n">
        <v>18500</v>
      </c>
      <c r="E5" s="25" t="n">
        <v>22.4</v>
      </c>
      <c r="F5" s="18" t="n">
        <v>34</v>
      </c>
      <c r="G5" s="18" t="n">
        <v>6</v>
      </c>
      <c r="H5" s="18" t="n">
        <v>8</v>
      </c>
      <c r="I5" s="18" t="inlineStr">
        <is>
          <t>Baseline month</t>
        </is>
      </c>
    </row>
    <row r="6">
      <c r="A6" s="18" t="inlineStr">
        <is>
          <t>2026-07</t>
        </is>
      </c>
      <c r="B6" s="18" t="inlineStr">
        <is>
          <t>badassbacklinks.com</t>
        </is>
      </c>
      <c r="C6" s="34" t="n">
        <v>260</v>
      </c>
      <c r="D6" s="34" t="n">
        <v>12100</v>
      </c>
      <c r="E6" s="25" t="n">
        <v>31</v>
      </c>
      <c r="F6" s="18" t="n">
        <v>41</v>
      </c>
      <c r="G6" s="18" t="n">
        <v>3</v>
      </c>
      <c r="H6" s="18" t="n">
        <v>5</v>
      </c>
      <c r="I6" s="18" t="inlineStr">
        <is>
          <t>Baseline month</t>
        </is>
      </c>
    </row>
    <row r="7">
      <c r="A7" s="18" t="inlineStr">
        <is>
          <t>2026-08</t>
        </is>
      </c>
      <c r="B7" s="18" t="inlineStr">
        <is>
          <t>crownseoagency.com</t>
        </is>
      </c>
      <c r="C7" s="34" t="n">
        <v>610</v>
      </c>
      <c r="D7" s="34" t="n">
        <v>24300</v>
      </c>
      <c r="E7" s="25" t="n">
        <v>18.9</v>
      </c>
      <c r="F7" s="18" t="n">
        <v>39</v>
      </c>
      <c r="G7" s="18" t="n">
        <v>9</v>
      </c>
      <c r="H7" s="18" t="n">
        <v>12</v>
      </c>
      <c r="I7" s="18" t="inlineStr">
        <is>
          <t>Content push paying off</t>
        </is>
      </c>
    </row>
    <row r="8">
      <c r="A8" s="18" t="inlineStr">
        <is>
          <t>2026-08</t>
        </is>
      </c>
      <c r="B8" s="18" t="inlineStr">
        <is>
          <t>badassbacklinks.com</t>
        </is>
      </c>
      <c r="C8" s="34" t="n">
        <v>340</v>
      </c>
      <c r="D8" s="34" t="n">
        <v>15600</v>
      </c>
      <c r="E8" s="25" t="n">
        <v>27.2</v>
      </c>
      <c r="F8" s="18" t="n">
        <v>47</v>
      </c>
      <c r="G8" s="18" t="n">
        <v>5</v>
      </c>
      <c r="H8" s="18" t="n">
        <v>7</v>
      </c>
      <c r="I8" s="18" t="inlineStr">
        <is>
          <t>Link velocity up</t>
        </is>
      </c>
    </row>
    <row r="9">
      <c r="A9" s="18" t="n"/>
      <c r="B9" s="18" t="n"/>
      <c r="C9" s="34" t="n"/>
      <c r="D9" s="34" t="n"/>
      <c r="E9" s="25" t="n"/>
      <c r="F9" s="18" t="n"/>
      <c r="G9" s="18" t="n"/>
      <c r="H9" s="18" t="n"/>
      <c r="I9" s="18" t="n"/>
    </row>
    <row r="10">
      <c r="A10" s="18" t="n"/>
      <c r="B10" s="18" t="n"/>
      <c r="C10" s="34" t="n"/>
      <c r="D10" s="34" t="n"/>
      <c r="E10" s="25" t="n"/>
      <c r="F10" s="18" t="n"/>
      <c r="G10" s="18" t="n"/>
      <c r="H10" s="18" t="n"/>
      <c r="I10" s="18" t="n"/>
    </row>
    <row r="11">
      <c r="A11" s="18" t="n"/>
      <c r="B11" s="18" t="n"/>
      <c r="C11" s="34" t="n"/>
      <c r="D11" s="34" t="n"/>
      <c r="E11" s="25" t="n"/>
      <c r="F11" s="18" t="n"/>
      <c r="G11" s="18" t="n"/>
      <c r="H11" s="18" t="n"/>
      <c r="I11" s="18" t="n"/>
    </row>
    <row r="12">
      <c r="A12" s="18" t="n"/>
      <c r="B12" s="18" t="n"/>
      <c r="C12" s="34" t="n"/>
      <c r="D12" s="34" t="n"/>
      <c r="E12" s="25" t="n"/>
      <c r="F12" s="18" t="n"/>
      <c r="G12" s="18" t="n"/>
      <c r="H12" s="18" t="n"/>
      <c r="I12" s="18" t="n"/>
    </row>
    <row r="13">
      <c r="A13" s="18" t="n"/>
      <c r="B13" s="18" t="n"/>
      <c r="C13" s="34" t="n"/>
      <c r="D13" s="34" t="n"/>
      <c r="E13" s="25" t="n"/>
      <c r="F13" s="18" t="n"/>
      <c r="G13" s="18" t="n"/>
      <c r="H13" s="18" t="n"/>
      <c r="I13" s="18" t="n"/>
    </row>
    <row r="14">
      <c r="A14" s="18" t="n"/>
      <c r="B14" s="18" t="n"/>
      <c r="C14" s="34" t="n"/>
      <c r="D14" s="34" t="n"/>
      <c r="E14" s="25" t="n"/>
      <c r="F14" s="18" t="n"/>
      <c r="G14" s="18" t="n"/>
      <c r="H14" s="18" t="n"/>
      <c r="I14" s="18" t="n"/>
    </row>
    <row r="15">
      <c r="A15" s="18" t="n"/>
      <c r="B15" s="18" t="n"/>
      <c r="C15" s="34" t="n"/>
      <c r="D15" s="34" t="n"/>
      <c r="E15" s="25" t="n"/>
      <c r="F15" s="18" t="n"/>
      <c r="G15" s="18" t="n"/>
      <c r="H15" s="18" t="n"/>
      <c r="I15" s="18" t="n"/>
    </row>
    <row r="16">
      <c r="A16" s="18" t="n"/>
      <c r="B16" s="18" t="n"/>
      <c r="C16" s="34" t="n"/>
      <c r="D16" s="34" t="n"/>
      <c r="E16" s="25" t="n"/>
      <c r="F16" s="18" t="n"/>
      <c r="G16" s="18" t="n"/>
      <c r="H16" s="18" t="n"/>
      <c r="I16" s="18" t="n"/>
    </row>
    <row r="17">
      <c r="A17" s="18" t="n"/>
      <c r="B17" s="18" t="n"/>
      <c r="C17" s="34" t="n"/>
      <c r="D17" s="34" t="n"/>
      <c r="E17" s="25" t="n"/>
      <c r="F17" s="18" t="n"/>
      <c r="G17" s="18" t="n"/>
      <c r="H17" s="18" t="n"/>
      <c r="I17" s="18" t="n"/>
    </row>
    <row r="18">
      <c r="A18" s="18" t="n"/>
      <c r="B18" s="18" t="n"/>
      <c r="C18" s="34" t="n"/>
      <c r="D18" s="34" t="n"/>
      <c r="E18" s="25" t="n"/>
      <c r="F18" s="18" t="n"/>
      <c r="G18" s="18" t="n"/>
      <c r="H18" s="18" t="n"/>
      <c r="I18" s="18" t="n"/>
    </row>
    <row r="19">
      <c r="A19" s="18" t="n"/>
      <c r="B19" s="18" t="n"/>
      <c r="C19" s="34" t="n"/>
      <c r="D19" s="34" t="n"/>
      <c r="E19" s="25" t="n"/>
      <c r="F19" s="18" t="n"/>
      <c r="G19" s="18" t="n"/>
      <c r="H19" s="18" t="n"/>
      <c r="I19" s="18" t="n"/>
    </row>
    <row r="20">
      <c r="A20" s="18" t="n"/>
      <c r="B20" s="18" t="n"/>
      <c r="C20" s="34" t="n"/>
      <c r="D20" s="34" t="n"/>
      <c r="E20" s="25" t="n"/>
      <c r="F20" s="18" t="n"/>
      <c r="G20" s="18" t="n"/>
      <c r="H20" s="18" t="n"/>
      <c r="I20" s="18" t="n"/>
    </row>
    <row r="21">
      <c r="A21" s="18" t="n"/>
      <c r="B21" s="18" t="n"/>
      <c r="C21" s="34" t="n"/>
      <c r="D21" s="34" t="n"/>
      <c r="E21" s="25" t="n"/>
      <c r="F21" s="18" t="n"/>
      <c r="G21" s="18" t="n"/>
      <c r="H21" s="18" t="n"/>
      <c r="I21" s="18" t="n"/>
    </row>
    <row r="22">
      <c r="A22" s="18" t="n"/>
      <c r="B22" s="18" t="n"/>
      <c r="C22" s="34" t="n"/>
      <c r="D22" s="34" t="n"/>
      <c r="E22" s="25" t="n"/>
      <c r="F22" s="18" t="n"/>
      <c r="G22" s="18" t="n"/>
      <c r="H22" s="18" t="n"/>
      <c r="I22" s="18" t="n"/>
    </row>
    <row r="23">
      <c r="A23" s="18" t="n"/>
      <c r="B23" s="18" t="n"/>
      <c r="C23" s="34" t="n"/>
      <c r="D23" s="34" t="n"/>
      <c r="E23" s="25" t="n"/>
      <c r="F23" s="18" t="n"/>
      <c r="G23" s="18" t="n"/>
      <c r="H23" s="18" t="n"/>
      <c r="I23" s="18" t="n"/>
    </row>
    <row r="24">
      <c r="A24" s="18" t="n"/>
      <c r="B24" s="18" t="n"/>
      <c r="C24" s="34" t="n"/>
      <c r="D24" s="34" t="n"/>
      <c r="E24" s="25" t="n"/>
      <c r="F24" s="18" t="n"/>
      <c r="G24" s="18" t="n"/>
      <c r="H24" s="18" t="n"/>
      <c r="I24" s="18" t="n"/>
    </row>
    <row r="25">
      <c r="A25" s="18" t="n"/>
      <c r="B25" s="18" t="n"/>
      <c r="C25" s="34" t="n"/>
      <c r="D25" s="34" t="n"/>
      <c r="E25" s="25" t="n"/>
      <c r="F25" s="18" t="n"/>
      <c r="G25" s="18" t="n"/>
      <c r="H25" s="18" t="n"/>
      <c r="I25" s="18" t="n"/>
    </row>
    <row r="26">
      <c r="A26" s="18" t="n"/>
      <c r="B26" s="18" t="n"/>
      <c r="C26" s="34" t="n"/>
      <c r="D26" s="34" t="n"/>
      <c r="E26" s="25" t="n"/>
      <c r="F26" s="18" t="n"/>
      <c r="G26" s="18" t="n"/>
      <c r="H26" s="18" t="n"/>
      <c r="I26" s="18" t="n"/>
    </row>
    <row r="27">
      <c r="A27" s="18" t="n"/>
      <c r="B27" s="18" t="n"/>
      <c r="C27" s="34" t="n"/>
      <c r="D27" s="34" t="n"/>
      <c r="E27" s="25" t="n"/>
      <c r="F27" s="18" t="n"/>
      <c r="G27" s="18" t="n"/>
      <c r="H27" s="18" t="n"/>
      <c r="I27" s="18" t="n"/>
    </row>
    <row r="28">
      <c r="A28" s="18" t="n"/>
      <c r="B28" s="18" t="n"/>
      <c r="C28" s="34" t="n"/>
      <c r="D28" s="34" t="n"/>
      <c r="E28" s="25" t="n"/>
      <c r="F28" s="18" t="n"/>
      <c r="G28" s="18" t="n"/>
      <c r="H28" s="18" t="n"/>
      <c r="I28" s="18" t="n"/>
    </row>
    <row r="29">
      <c r="A29" s="18" t="n"/>
      <c r="B29" s="18" t="n"/>
      <c r="C29" s="34" t="n"/>
      <c r="D29" s="34" t="n"/>
      <c r="E29" s="25" t="n"/>
      <c r="F29" s="18" t="n"/>
      <c r="G29" s="18" t="n"/>
      <c r="H29" s="18" t="n"/>
      <c r="I29" s="18" t="n"/>
    </row>
    <row r="30">
      <c r="A30" s="18" t="n"/>
      <c r="B30" s="18" t="n"/>
      <c r="C30" s="34" t="n"/>
      <c r="D30" s="34" t="n"/>
      <c r="E30" s="25" t="n"/>
      <c r="F30" s="18" t="n"/>
      <c r="G30" s="18" t="n"/>
      <c r="H30" s="18" t="n"/>
      <c r="I30" s="18" t="n"/>
    </row>
    <row r="31">
      <c r="A31" s="18" t="n"/>
      <c r="B31" s="18" t="n"/>
      <c r="C31" s="34" t="n"/>
      <c r="D31" s="34" t="n"/>
      <c r="E31" s="25" t="n"/>
      <c r="F31" s="18" t="n"/>
      <c r="G31" s="18" t="n"/>
      <c r="H31" s="18" t="n"/>
      <c r="I31" s="18" t="n"/>
    </row>
    <row r="32">
      <c r="A32" s="18" t="n"/>
      <c r="B32" s="18" t="n"/>
      <c r="C32" s="34" t="n"/>
      <c r="D32" s="34" t="n"/>
      <c r="E32" s="25" t="n"/>
      <c r="F32" s="18" t="n"/>
      <c r="G32" s="18" t="n"/>
      <c r="H32" s="18" t="n"/>
      <c r="I32" s="18" t="n"/>
    </row>
    <row r="33">
      <c r="A33" s="18" t="n"/>
      <c r="B33" s="18" t="n"/>
      <c r="C33" s="34" t="n"/>
      <c r="D33" s="34" t="n"/>
      <c r="E33" s="25" t="n"/>
      <c r="F33" s="18" t="n"/>
      <c r="G33" s="18" t="n"/>
      <c r="H33" s="18" t="n"/>
      <c r="I33" s="18" t="n"/>
    </row>
    <row r="34">
      <c r="A34" s="18" t="n"/>
      <c r="B34" s="18" t="n"/>
      <c r="C34" s="34" t="n"/>
      <c r="D34" s="34" t="n"/>
      <c r="E34" s="25" t="n"/>
      <c r="F34" s="18" t="n"/>
      <c r="G34" s="18" t="n"/>
      <c r="H34" s="18" t="n"/>
      <c r="I34" s="18" t="n"/>
    </row>
    <row r="35">
      <c r="A35" s="18" t="n"/>
      <c r="B35" s="18" t="n"/>
      <c r="C35" s="34" t="n"/>
      <c r="D35" s="34" t="n"/>
      <c r="E35" s="25" t="n"/>
      <c r="F35" s="18" t="n"/>
      <c r="G35" s="18" t="n"/>
      <c r="H35" s="18" t="n"/>
      <c r="I35" s="18" t="n"/>
    </row>
    <row r="36">
      <c r="A36" s="18" t="n"/>
      <c r="B36" s="18" t="n"/>
      <c r="C36" s="34" t="n"/>
      <c r="D36" s="34" t="n"/>
      <c r="E36" s="25" t="n"/>
      <c r="F36" s="18" t="n"/>
      <c r="G36" s="18" t="n"/>
      <c r="H36" s="18" t="n"/>
      <c r="I36" s="18" t="n"/>
    </row>
    <row r="37">
      <c r="A37" s="18" t="n"/>
      <c r="B37" s="18" t="n"/>
      <c r="C37" s="34" t="n"/>
      <c r="D37" s="34" t="n"/>
      <c r="E37" s="25" t="n"/>
      <c r="F37" s="18" t="n"/>
      <c r="G37" s="18" t="n"/>
      <c r="H37" s="18" t="n"/>
      <c r="I37" s="18" t="n"/>
    </row>
    <row r="38">
      <c r="A38" s="18" t="n"/>
      <c r="B38" s="18" t="n"/>
      <c r="C38" s="34" t="n"/>
      <c r="D38" s="34" t="n"/>
      <c r="E38" s="25" t="n"/>
      <c r="F38" s="18" t="n"/>
      <c r="G38" s="18" t="n"/>
      <c r="H38" s="18" t="n"/>
      <c r="I38" s="18" t="n"/>
    </row>
    <row r="39">
      <c r="A39" s="18" t="n"/>
      <c r="B39" s="18" t="n"/>
      <c r="C39" s="34" t="n"/>
      <c r="D39" s="34" t="n"/>
      <c r="E39" s="25" t="n"/>
      <c r="F39" s="18" t="n"/>
      <c r="G39" s="18" t="n"/>
      <c r="H39" s="18" t="n"/>
      <c r="I39" s="18" t="n"/>
    </row>
    <row r="40">
      <c r="A40" s="18" t="n"/>
      <c r="B40" s="18" t="n"/>
      <c r="C40" s="34" t="n"/>
      <c r="D40" s="34" t="n"/>
      <c r="E40" s="25" t="n"/>
      <c r="F40" s="18" t="n"/>
      <c r="G40" s="18" t="n"/>
      <c r="H40" s="18" t="n"/>
      <c r="I40" s="18" t="n"/>
    </row>
    <row r="41">
      <c r="A41" s="18" t="n"/>
      <c r="B41" s="18" t="n"/>
      <c r="C41" s="34" t="n"/>
      <c r="D41" s="34" t="n"/>
      <c r="E41" s="25" t="n"/>
      <c r="F41" s="18" t="n"/>
      <c r="G41" s="18" t="n"/>
      <c r="H41" s="18" t="n"/>
      <c r="I41" s="18" t="n"/>
    </row>
    <row r="42">
      <c r="A42" s="18" t="n"/>
      <c r="B42" s="18" t="n"/>
      <c r="C42" s="34" t="n"/>
      <c r="D42" s="34" t="n"/>
      <c r="E42" s="25" t="n"/>
      <c r="F42" s="18" t="n"/>
      <c r="G42" s="18" t="n"/>
      <c r="H42" s="18" t="n"/>
      <c r="I42" s="18" t="n"/>
    </row>
    <row r="43">
      <c r="A43" s="18" t="n"/>
      <c r="B43" s="18" t="n"/>
      <c r="C43" s="34" t="n"/>
      <c r="D43" s="34" t="n"/>
      <c r="E43" s="25" t="n"/>
      <c r="F43" s="18" t="n"/>
      <c r="G43" s="18" t="n"/>
      <c r="H43" s="18" t="n"/>
      <c r="I43" s="18" t="n"/>
    </row>
    <row r="44">
      <c r="A44" s="18" t="n"/>
      <c r="B44" s="18" t="n"/>
      <c r="C44" s="34" t="n"/>
      <c r="D44" s="34" t="n"/>
      <c r="E44" s="25" t="n"/>
      <c r="F44" s="18" t="n"/>
      <c r="G44" s="18" t="n"/>
      <c r="H44" s="18" t="n"/>
      <c r="I44" s="18" t="n"/>
    </row>
    <row r="45">
      <c r="A45" s="18" t="n"/>
      <c r="B45" s="18" t="n"/>
      <c r="C45" s="34" t="n"/>
      <c r="D45" s="34" t="n"/>
      <c r="E45" s="25" t="n"/>
      <c r="F45" s="18" t="n"/>
      <c r="G45" s="18" t="n"/>
      <c r="H45" s="18" t="n"/>
      <c r="I45" s="18" t="n"/>
    </row>
    <row r="46">
      <c r="A46" s="18" t="n"/>
      <c r="B46" s="18" t="n"/>
      <c r="C46" s="34" t="n"/>
      <c r="D46" s="34" t="n"/>
      <c r="E46" s="25" t="n"/>
      <c r="F46" s="18" t="n"/>
      <c r="G46" s="18" t="n"/>
      <c r="H46" s="18" t="n"/>
      <c r="I46" s="18" t="n"/>
    </row>
    <row r="47">
      <c r="A47" s="18" t="n"/>
      <c r="B47" s="18" t="n"/>
      <c r="C47" s="34" t="n"/>
      <c r="D47" s="34" t="n"/>
      <c r="E47" s="25" t="n"/>
      <c r="F47" s="18" t="n"/>
      <c r="G47" s="18" t="n"/>
      <c r="H47" s="18" t="n"/>
      <c r="I47" s="18" t="n"/>
    </row>
    <row r="48">
      <c r="A48" s="18" t="n"/>
      <c r="B48" s="18" t="n"/>
      <c r="C48" s="34" t="n"/>
      <c r="D48" s="34" t="n"/>
      <c r="E48" s="25" t="n"/>
      <c r="F48" s="18" t="n"/>
      <c r="G48" s="18" t="n"/>
      <c r="H48" s="18" t="n"/>
      <c r="I48" s="18" t="n"/>
    </row>
    <row r="49">
      <c r="A49" s="18" t="n"/>
      <c r="B49" s="18" t="n"/>
      <c r="C49" s="34" t="n"/>
      <c r="D49" s="34" t="n"/>
      <c r="E49" s="25" t="n"/>
      <c r="F49" s="18" t="n"/>
      <c r="G49" s="18" t="n"/>
      <c r="H49" s="18" t="n"/>
      <c r="I49" s="18" t="n"/>
    </row>
    <row r="50">
      <c r="A50" s="18" t="n"/>
      <c r="B50" s="18" t="n"/>
      <c r="C50" s="34" t="n"/>
      <c r="D50" s="34" t="n"/>
      <c r="E50" s="25" t="n"/>
      <c r="F50" s="18" t="n"/>
      <c r="G50" s="18" t="n"/>
      <c r="H50" s="18" t="n"/>
      <c r="I50" s="18" t="n"/>
    </row>
    <row r="51">
      <c r="A51" s="18" t="n"/>
      <c r="B51" s="18" t="n"/>
      <c r="C51" s="34" t="n"/>
      <c r="D51" s="34" t="n"/>
      <c r="E51" s="25" t="n"/>
      <c r="F51" s="18" t="n"/>
      <c r="G51" s="18" t="n"/>
      <c r="H51" s="18" t="n"/>
      <c r="I51" s="18" t="n"/>
    </row>
    <row r="52">
      <c r="A52" s="18" t="n"/>
      <c r="B52" s="18" t="n"/>
      <c r="C52" s="34" t="n"/>
      <c r="D52" s="34" t="n"/>
      <c r="E52" s="25" t="n"/>
      <c r="F52" s="18" t="n"/>
      <c r="G52" s="18" t="n"/>
      <c r="H52" s="18" t="n"/>
      <c r="I52" s="18" t="n"/>
    </row>
    <row r="53">
      <c r="A53" s="18" t="n"/>
      <c r="B53" s="18" t="n"/>
      <c r="C53" s="34" t="n"/>
      <c r="D53" s="34" t="n"/>
      <c r="E53" s="25" t="n"/>
      <c r="F53" s="18" t="n"/>
      <c r="G53" s="18" t="n"/>
      <c r="H53" s="18" t="n"/>
      <c r="I53" s="18" t="n"/>
    </row>
    <row r="54">
      <c r="A54" s="18" t="n"/>
      <c r="B54" s="18" t="n"/>
      <c r="C54" s="34" t="n"/>
      <c r="D54" s="34" t="n"/>
      <c r="E54" s="25" t="n"/>
      <c r="F54" s="18" t="n"/>
      <c r="G54" s="18" t="n"/>
      <c r="H54" s="18" t="n"/>
      <c r="I54" s="18" t="n"/>
    </row>
    <row r="55">
      <c r="A55" s="18" t="n"/>
      <c r="B55" s="18" t="n"/>
      <c r="C55" s="34" t="n"/>
      <c r="D55" s="34" t="n"/>
      <c r="E55" s="25" t="n"/>
      <c r="F55" s="18" t="n"/>
      <c r="G55" s="18" t="n"/>
      <c r="H55" s="18" t="n"/>
      <c r="I55" s="18" t="n"/>
    </row>
    <row r="56">
      <c r="A56" s="18" t="n"/>
      <c r="B56" s="18" t="n"/>
      <c r="C56" s="34" t="n"/>
      <c r="D56" s="34" t="n"/>
      <c r="E56" s="25" t="n"/>
      <c r="F56" s="18" t="n"/>
      <c r="G56" s="18" t="n"/>
      <c r="H56" s="18" t="n"/>
      <c r="I56" s="18" t="n"/>
    </row>
    <row r="57">
      <c r="A57" s="18" t="n"/>
      <c r="B57" s="18" t="n"/>
      <c r="C57" s="34" t="n"/>
      <c r="D57" s="34" t="n"/>
      <c r="E57" s="25" t="n"/>
      <c r="F57" s="18" t="n"/>
      <c r="G57" s="18" t="n"/>
      <c r="H57" s="18" t="n"/>
      <c r="I57" s="18" t="n"/>
    </row>
    <row r="58">
      <c r="A58" s="18" t="n"/>
      <c r="B58" s="18" t="n"/>
      <c r="C58" s="34" t="n"/>
      <c r="D58" s="34" t="n"/>
      <c r="E58" s="25" t="n"/>
      <c r="F58" s="18" t="n"/>
      <c r="G58" s="18" t="n"/>
      <c r="H58" s="18" t="n"/>
      <c r="I58" s="18" t="n"/>
    </row>
    <row r="59">
      <c r="A59" s="18" t="n"/>
      <c r="B59" s="18" t="n"/>
      <c r="C59" s="34" t="n"/>
      <c r="D59" s="34" t="n"/>
      <c r="E59" s="25" t="n"/>
      <c r="F59" s="18" t="n"/>
      <c r="G59" s="18" t="n"/>
      <c r="H59" s="18" t="n"/>
      <c r="I59" s="18" t="n"/>
    </row>
    <row r="60">
      <c r="A60" s="18" t="n"/>
      <c r="B60" s="18" t="n"/>
      <c r="C60" s="34" t="n"/>
      <c r="D60" s="34" t="n"/>
      <c r="E60" s="25" t="n"/>
      <c r="F60" s="18" t="n"/>
      <c r="G60" s="18" t="n"/>
      <c r="H60" s="18" t="n"/>
      <c r="I60" s="18" t="n"/>
    </row>
    <row r="61">
      <c r="A61" s="18" t="n"/>
      <c r="B61" s="18" t="n"/>
      <c r="C61" s="34" t="n"/>
      <c r="D61" s="34" t="n"/>
      <c r="E61" s="25" t="n"/>
      <c r="F61" s="18" t="n"/>
      <c r="G61" s="18" t="n"/>
      <c r="H61" s="18" t="n"/>
      <c r="I61" s="18" t="n"/>
    </row>
    <row r="62">
      <c r="A62" s="18" t="n"/>
      <c r="B62" s="18" t="n"/>
      <c r="C62" s="34" t="n"/>
      <c r="D62" s="34" t="n"/>
      <c r="E62" s="25" t="n"/>
      <c r="F62" s="18" t="n"/>
      <c r="G62" s="18" t="n"/>
      <c r="H62" s="18" t="n"/>
      <c r="I62" s="18" t="n"/>
    </row>
    <row r="63">
      <c r="A63" s="18" t="n"/>
      <c r="B63" s="18" t="n"/>
      <c r="C63" s="34" t="n"/>
      <c r="D63" s="34" t="n"/>
      <c r="E63" s="25" t="n"/>
      <c r="F63" s="18" t="n"/>
      <c r="G63" s="18" t="n"/>
      <c r="H63" s="18" t="n"/>
      <c r="I63" s="18" t="n"/>
    </row>
    <row r="64">
      <c r="A64" s="18" t="n"/>
      <c r="B64" s="18" t="n"/>
      <c r="C64" s="34" t="n"/>
      <c r="D64" s="34" t="n"/>
      <c r="E64" s="25" t="n"/>
      <c r="F64" s="18" t="n"/>
      <c r="G64" s="18" t="n"/>
      <c r="H64" s="18" t="n"/>
      <c r="I64" s="18" t="n"/>
    </row>
    <row r="65">
      <c r="A65" s="18" t="n"/>
      <c r="B65" s="18" t="n"/>
      <c r="C65" s="34" t="n"/>
      <c r="D65" s="34" t="n"/>
      <c r="E65" s="25" t="n"/>
      <c r="F65" s="18" t="n"/>
      <c r="G65" s="18" t="n"/>
      <c r="H65" s="18" t="n"/>
      <c r="I65" s="18" t="n"/>
    </row>
    <row r="66">
      <c r="A66" s="18" t="n"/>
      <c r="B66" s="18" t="n"/>
      <c r="C66" s="34" t="n"/>
      <c r="D66" s="34" t="n"/>
      <c r="E66" s="25" t="n"/>
      <c r="F66" s="18" t="n"/>
      <c r="G66" s="18" t="n"/>
      <c r="H66" s="18" t="n"/>
      <c r="I66" s="18" t="n"/>
    </row>
    <row r="67">
      <c r="A67" s="18" t="n"/>
      <c r="B67" s="18" t="n"/>
      <c r="C67" s="34" t="n"/>
      <c r="D67" s="34" t="n"/>
      <c r="E67" s="25" t="n"/>
      <c r="F67" s="18" t="n"/>
      <c r="G67" s="18" t="n"/>
      <c r="H67" s="18" t="n"/>
      <c r="I67" s="18" t="n"/>
    </row>
    <row r="68">
      <c r="A68" s="18" t="n"/>
      <c r="B68" s="18" t="n"/>
      <c r="C68" s="34" t="n"/>
      <c r="D68" s="34" t="n"/>
      <c r="E68" s="25" t="n"/>
      <c r="F68" s="18" t="n"/>
      <c r="G68" s="18" t="n"/>
      <c r="H68" s="18" t="n"/>
      <c r="I68" s="18" t="n"/>
    </row>
    <row r="69">
      <c r="A69" s="18" t="n"/>
      <c r="B69" s="18" t="n"/>
      <c r="C69" s="34" t="n"/>
      <c r="D69" s="34" t="n"/>
      <c r="E69" s="25" t="n"/>
      <c r="F69" s="18" t="n"/>
      <c r="G69" s="18" t="n"/>
      <c r="H69" s="18" t="n"/>
      <c r="I69" s="18" t="n"/>
    </row>
    <row r="71">
      <c r="A71" s="13" t="inlineStr">
        <is>
          <t>Tip: enter Month as text (2026-08) so it sorts cleanly. Fill one row per site per month.</t>
        </is>
      </c>
    </row>
  </sheetData>
  <autoFilter ref="A4:I69"/>
  <mergeCells count="3">
    <mergeCell ref="A1:I1"/>
    <mergeCell ref="A2:I2"/>
    <mergeCell ref="A71:I7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showDropDown="0" showInputMessage="0" showErrorMessage="0" allowBlank="1" type="list">
      <formula1>"crownseoagency.com,badassbacklinks.com"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2026-08-17T04:46:55Z</dcterms:created>
  <dcterms:modified xsi:type="dcterms:W3CDTF">2026-08-17T04:46:55Z</dcterms:modified>
</cp:coreProperties>
</file>